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120" yWindow="285" windowWidth="12120" windowHeight="7830" activeTab="2"/>
  </bookViews>
  <sheets>
    <sheet name="Лист1" sheetId="1" r:id="rId1"/>
    <sheet name="Лист2" sheetId="4" r:id="rId2"/>
    <sheet name="Лист3" sheetId="5" r:id="rId3"/>
  </sheets>
  <calcPr calcId="144525"/>
</workbook>
</file>

<file path=xl/calcChain.xml><?xml version="1.0" encoding="utf-8"?>
<calcChain xmlns="http://schemas.openxmlformats.org/spreadsheetml/2006/main">
  <c r="J22" i="5" l="1"/>
  <c r="I22" i="5"/>
  <c r="H22" i="5"/>
  <c r="H21" i="5"/>
  <c r="J21" i="5" l="1"/>
  <c r="I21" i="5"/>
  <c r="J20" i="5"/>
  <c r="I20" i="5"/>
  <c r="H20" i="5"/>
  <c r="J19" i="5"/>
  <c r="I19" i="5"/>
  <c r="H19" i="5"/>
  <c r="J18" i="5"/>
  <c r="I18" i="5"/>
  <c r="H18" i="5"/>
  <c r="J17" i="5"/>
  <c r="I17" i="5"/>
  <c r="H17" i="5"/>
  <c r="J16" i="5"/>
  <c r="I16" i="5"/>
  <c r="I15" i="5"/>
  <c r="H16" i="5"/>
  <c r="J14" i="5"/>
  <c r="J15" i="5"/>
  <c r="H15" i="5"/>
  <c r="I14" i="5"/>
  <c r="H14" i="5"/>
  <c r="J13" i="5"/>
  <c r="I13" i="5"/>
  <c r="H13" i="5"/>
  <c r="I12" i="5"/>
  <c r="J12" i="5"/>
  <c r="H12" i="5"/>
  <c r="J3" i="5" l="1"/>
  <c r="J4" i="5"/>
  <c r="J5" i="5"/>
  <c r="J6" i="5"/>
  <c r="J7" i="5"/>
  <c r="J8" i="5"/>
  <c r="J9" i="5"/>
  <c r="J10" i="5"/>
  <c r="J11" i="5"/>
  <c r="J2" i="5"/>
  <c r="I3" i="5"/>
  <c r="I4" i="5"/>
  <c r="I5" i="5"/>
  <c r="I6" i="5"/>
  <c r="I7" i="5"/>
  <c r="I8" i="5"/>
  <c r="I9" i="5"/>
  <c r="I10" i="5"/>
  <c r="I11" i="5"/>
  <c r="I2" i="5"/>
  <c r="H3" i="5"/>
  <c r="H4" i="5"/>
  <c r="H5" i="5"/>
  <c r="H6" i="5"/>
  <c r="H7" i="5"/>
  <c r="H8" i="5"/>
  <c r="H9" i="5"/>
  <c r="H10" i="5"/>
  <c r="H11" i="5"/>
  <c r="H2" i="5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2" i="5"/>
  <c r="C3" i="5"/>
  <c r="G3" i="5" s="1"/>
  <c r="C4" i="5"/>
  <c r="G4" i="5" s="1"/>
  <c r="C5" i="5"/>
  <c r="G5" i="5" s="1"/>
  <c r="C6" i="5"/>
  <c r="G6" i="5" s="1"/>
  <c r="C7" i="5"/>
  <c r="G7" i="5" s="1"/>
  <c r="C8" i="5"/>
  <c r="G8" i="5" s="1"/>
  <c r="C9" i="5"/>
  <c r="G9" i="5" s="1"/>
  <c r="C10" i="5"/>
  <c r="G10" i="5" s="1"/>
  <c r="C11" i="5"/>
  <c r="G11" i="5" s="1"/>
  <c r="C12" i="5"/>
  <c r="G12" i="5" s="1"/>
  <c r="C13" i="5"/>
  <c r="G13" i="5" s="1"/>
  <c r="C14" i="5"/>
  <c r="G14" i="5" s="1"/>
  <c r="C15" i="5"/>
  <c r="G15" i="5" s="1"/>
  <c r="C16" i="5"/>
  <c r="G16" i="5" s="1"/>
  <c r="C17" i="5"/>
  <c r="G17" i="5" s="1"/>
  <c r="C18" i="5"/>
  <c r="G18" i="5" s="1"/>
  <c r="C19" i="5"/>
  <c r="G19" i="5" s="1"/>
  <c r="C20" i="5"/>
  <c r="G20" i="5" s="1"/>
  <c r="C21" i="5"/>
  <c r="G21" i="5" s="1"/>
  <c r="C22" i="5"/>
  <c r="G22" i="5" s="1"/>
  <c r="C23" i="5"/>
  <c r="G23" i="5" s="1"/>
  <c r="C24" i="5"/>
  <c r="G24" i="5" s="1"/>
  <c r="C25" i="5"/>
  <c r="G25" i="5" s="1"/>
  <c r="C26" i="5"/>
  <c r="G26" i="5" s="1"/>
  <c r="C27" i="5"/>
  <c r="G27" i="5" s="1"/>
  <c r="C28" i="5"/>
  <c r="G28" i="5" s="1"/>
  <c r="C29" i="5"/>
  <c r="G29" i="5" s="1"/>
  <c r="C30" i="5"/>
  <c r="G30" i="5" s="1"/>
  <c r="C31" i="5"/>
  <c r="G31" i="5" s="1"/>
  <c r="C2" i="5"/>
  <c r="G2" i="5" s="1"/>
  <c r="F30" i="5" l="1"/>
  <c r="F28" i="5"/>
  <c r="F26" i="5"/>
  <c r="F24" i="5"/>
  <c r="F22" i="5"/>
  <c r="F20" i="5"/>
  <c r="F18" i="5"/>
  <c r="F16" i="5"/>
  <c r="F14" i="5"/>
  <c r="F12" i="5"/>
  <c r="F10" i="5"/>
  <c r="F8" i="5"/>
  <c r="F6" i="5"/>
  <c r="F4" i="5"/>
  <c r="F31" i="5"/>
  <c r="F29" i="5"/>
  <c r="F27" i="5"/>
  <c r="F25" i="5"/>
  <c r="F23" i="5"/>
  <c r="F21" i="5"/>
  <c r="F19" i="5"/>
  <c r="F17" i="5"/>
  <c r="F15" i="5"/>
  <c r="F13" i="5"/>
  <c r="F11" i="5"/>
  <c r="F9" i="5"/>
  <c r="F7" i="5"/>
  <c r="F5" i="5"/>
  <c r="F3" i="5"/>
  <c r="F2" i="5"/>
  <c r="E30" i="5"/>
  <c r="E28" i="5"/>
  <c r="E26" i="5"/>
  <c r="E24" i="5"/>
  <c r="E22" i="5"/>
  <c r="E20" i="5"/>
  <c r="E18" i="5"/>
  <c r="E16" i="5"/>
  <c r="E14" i="5"/>
  <c r="E12" i="5"/>
  <c r="E10" i="5"/>
  <c r="E8" i="5"/>
  <c r="E6" i="5"/>
  <c r="E4" i="5"/>
  <c r="E31" i="5"/>
  <c r="E29" i="5"/>
  <c r="E27" i="5"/>
  <c r="E25" i="5"/>
  <c r="E23" i="5"/>
  <c r="E21" i="5"/>
  <c r="E19" i="5"/>
  <c r="E17" i="5"/>
  <c r="E15" i="5"/>
  <c r="E13" i="5"/>
  <c r="E11" i="5"/>
  <c r="E9" i="5"/>
  <c r="E7" i="5"/>
  <c r="E5" i="5"/>
  <c r="E3" i="5"/>
  <c r="E2" i="5"/>
  <c r="J19" i="4"/>
  <c r="J20" i="4"/>
  <c r="J21" i="4"/>
  <c r="J22" i="4"/>
  <c r="J23" i="4"/>
  <c r="J24" i="4"/>
  <c r="J25" i="4"/>
  <c r="J18" i="4"/>
  <c r="J11" i="4"/>
  <c r="J12" i="4"/>
  <c r="J13" i="4"/>
  <c r="J14" i="4"/>
  <c r="J15" i="4"/>
  <c r="J16" i="4"/>
  <c r="J17" i="4"/>
  <c r="J10" i="4"/>
  <c r="J3" i="4"/>
  <c r="J4" i="4"/>
  <c r="J5" i="4"/>
  <c r="J6" i="4"/>
  <c r="J7" i="4"/>
  <c r="J8" i="4"/>
  <c r="J9" i="4"/>
  <c r="J2" i="4"/>
  <c r="I19" i="4"/>
  <c r="I20" i="4"/>
  <c r="I21" i="4"/>
  <c r="I22" i="4"/>
  <c r="I23" i="4"/>
  <c r="I24" i="4"/>
  <c r="I25" i="4"/>
  <c r="I18" i="4"/>
  <c r="I11" i="4"/>
  <c r="I12" i="4"/>
  <c r="I13" i="4"/>
  <c r="I14" i="4"/>
  <c r="I15" i="4"/>
  <c r="I16" i="4"/>
  <c r="I17" i="4"/>
  <c r="I10" i="4"/>
  <c r="I3" i="4"/>
  <c r="I4" i="4"/>
  <c r="I5" i="4"/>
  <c r="I6" i="4"/>
  <c r="I7" i="4"/>
  <c r="I8" i="4"/>
  <c r="I9" i="4"/>
  <c r="I2" i="4"/>
  <c r="H19" i="4"/>
  <c r="H20" i="4"/>
  <c r="H21" i="4"/>
  <c r="H22" i="4"/>
  <c r="H23" i="4"/>
  <c r="H24" i="4"/>
  <c r="H25" i="4"/>
  <c r="H18" i="4"/>
  <c r="H11" i="4"/>
  <c r="H12" i="4"/>
  <c r="H13" i="4"/>
  <c r="H14" i="4"/>
  <c r="H15" i="4"/>
  <c r="H16" i="4"/>
  <c r="H17" i="4"/>
  <c r="H10" i="4"/>
  <c r="H3" i="4"/>
  <c r="H4" i="4"/>
  <c r="H5" i="4"/>
  <c r="H6" i="4"/>
  <c r="H7" i="4"/>
  <c r="H8" i="4"/>
  <c r="H9" i="4"/>
  <c r="H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" i="4"/>
  <c r="C3" i="4"/>
  <c r="G3" i="4" s="1"/>
  <c r="C4" i="4"/>
  <c r="G4" i="4" s="1"/>
  <c r="C5" i="4"/>
  <c r="G5" i="4" s="1"/>
  <c r="C6" i="4"/>
  <c r="G6" i="4" s="1"/>
  <c r="C7" i="4"/>
  <c r="G7" i="4" s="1"/>
  <c r="C8" i="4"/>
  <c r="G8" i="4" s="1"/>
  <c r="C9" i="4"/>
  <c r="G9" i="4" s="1"/>
  <c r="C10" i="4"/>
  <c r="G10" i="4" s="1"/>
  <c r="C11" i="4"/>
  <c r="G11" i="4" s="1"/>
  <c r="C12" i="4"/>
  <c r="G12" i="4" s="1"/>
  <c r="C13" i="4"/>
  <c r="G13" i="4" s="1"/>
  <c r="C14" i="4"/>
  <c r="G14" i="4" s="1"/>
  <c r="C15" i="4"/>
  <c r="G15" i="4" s="1"/>
  <c r="C16" i="4"/>
  <c r="G16" i="4" s="1"/>
  <c r="C17" i="4"/>
  <c r="G17" i="4" s="1"/>
  <c r="C18" i="4"/>
  <c r="G18" i="4" s="1"/>
  <c r="C19" i="4"/>
  <c r="G19" i="4" s="1"/>
  <c r="C20" i="4"/>
  <c r="G20" i="4" s="1"/>
  <c r="C21" i="4"/>
  <c r="G21" i="4" s="1"/>
  <c r="C22" i="4"/>
  <c r="G22" i="4" s="1"/>
  <c r="C23" i="4"/>
  <c r="G23" i="4" s="1"/>
  <c r="C24" i="4"/>
  <c r="G24" i="4" s="1"/>
  <c r="C25" i="4"/>
  <c r="G25" i="4" s="1"/>
  <c r="C2" i="4"/>
  <c r="G2" i="4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7" i="1"/>
  <c r="H8" i="1"/>
  <c r="H9" i="1"/>
  <c r="H10" i="1"/>
  <c r="H11" i="1"/>
  <c r="H12" i="1"/>
  <c r="H13" i="1"/>
  <c r="H3" i="1"/>
  <c r="H4" i="1"/>
  <c r="H5" i="1"/>
  <c r="H6" i="1"/>
  <c r="H2" i="1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C21" i="1"/>
  <c r="D21" i="1" s="1"/>
  <c r="C22" i="1"/>
  <c r="D22" i="1" s="1"/>
  <c r="C23" i="1"/>
  <c r="D23" i="1" s="1"/>
  <c r="C24" i="1"/>
  <c r="D24" i="1" s="1"/>
  <c r="C25" i="1"/>
  <c r="D25" i="1" s="1"/>
  <c r="C26" i="1"/>
  <c r="D26" i="1" s="1"/>
  <c r="C2" i="1"/>
  <c r="D2" i="1" s="1"/>
  <c r="F24" i="4" l="1"/>
  <c r="F22" i="4"/>
  <c r="F20" i="4"/>
  <c r="F18" i="4"/>
  <c r="F16" i="4"/>
  <c r="F14" i="4"/>
  <c r="F12" i="4"/>
  <c r="F10" i="4"/>
  <c r="F8" i="4"/>
  <c r="F6" i="4"/>
  <c r="F4" i="4"/>
  <c r="F25" i="4"/>
  <c r="F23" i="4"/>
  <c r="F21" i="4"/>
  <c r="F19" i="4"/>
  <c r="F17" i="4"/>
  <c r="F15" i="4"/>
  <c r="F13" i="4"/>
  <c r="F11" i="4"/>
  <c r="F9" i="4"/>
  <c r="F7" i="4"/>
  <c r="F5" i="4"/>
  <c r="F3" i="4"/>
  <c r="F2" i="4"/>
  <c r="E2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<sst xmlns="http://schemas.openxmlformats.org/spreadsheetml/2006/main" count="305" uniqueCount="183">
  <si>
    <t>№</t>
  </si>
  <si>
    <t>Nrow</t>
  </si>
  <si>
    <t>Name</t>
  </si>
  <si>
    <t>BirthYear</t>
  </si>
  <si>
    <t>EmployYear</t>
  </si>
  <si>
    <t>Salary</t>
  </si>
  <si>
    <t>EyEColor</t>
  </si>
  <si>
    <t>SkinColor</t>
  </si>
  <si>
    <t>BloodType</t>
  </si>
  <si>
    <t>HairColor</t>
  </si>
  <si>
    <t>Прим.</t>
  </si>
  <si>
    <t>Ярослав</t>
  </si>
  <si>
    <t>Осип</t>
  </si>
  <si>
    <t>Олесь</t>
  </si>
  <si>
    <t>Микита</t>
  </si>
  <si>
    <t>Данило</t>
  </si>
  <si>
    <t>Рати</t>
  </si>
  <si>
    <t>Амита</t>
  </si>
  <si>
    <t>Аванти</t>
  </si>
  <si>
    <t>Амала</t>
  </si>
  <si>
    <t>Вазанта</t>
  </si>
  <si>
    <t>Бхарат</t>
  </si>
  <si>
    <t>Тришна</t>
  </si>
  <si>
    <t>Йенс</t>
  </si>
  <si>
    <t>Ларс</t>
  </si>
  <si>
    <t>Бент</t>
  </si>
  <si>
    <t>Хенрик</t>
  </si>
  <si>
    <t>Браин</t>
  </si>
  <si>
    <t>Джеспер</t>
  </si>
  <si>
    <t>Вилфред</t>
  </si>
  <si>
    <t>Лин</t>
  </si>
  <si>
    <t>Кхи</t>
  </si>
  <si>
    <t>Аун</t>
  </si>
  <si>
    <t>Чжи</t>
  </si>
  <si>
    <t>Док Ха</t>
  </si>
  <si>
    <t>Зе Бе</t>
  </si>
  <si>
    <t>Укр</t>
  </si>
  <si>
    <t>Инд</t>
  </si>
  <si>
    <t>Дат</t>
  </si>
  <si>
    <t>Бирм</t>
  </si>
  <si>
    <t>Цвет</t>
  </si>
  <si>
    <t>Код цвета глаз</t>
  </si>
  <si>
    <t>Код цвета кожи</t>
  </si>
  <si>
    <t>Примечание</t>
  </si>
  <si>
    <t>Черный</t>
  </si>
  <si>
    <t>Белый</t>
  </si>
  <si>
    <t>Рыжий</t>
  </si>
  <si>
    <t>Голубой</t>
  </si>
  <si>
    <t>Карий</t>
  </si>
  <si>
    <t>Серый</t>
  </si>
  <si>
    <t>Желтый</t>
  </si>
  <si>
    <t>Код цвета волос</t>
  </si>
  <si>
    <t>Национальность</t>
  </si>
  <si>
    <t>Преобладающая группа крови</t>
  </si>
  <si>
    <t>Исландцы</t>
  </si>
  <si>
    <t>Англичане</t>
  </si>
  <si>
    <t>Итальянцы</t>
  </si>
  <si>
    <t>Датчане</t>
  </si>
  <si>
    <t>Немцы</t>
  </si>
  <si>
    <t>Русские</t>
  </si>
  <si>
    <t>Испанцы</t>
  </si>
  <si>
    <t>Китайцы</t>
  </si>
  <si>
    <t>Индусы</t>
  </si>
  <si>
    <t>Бирманцы</t>
  </si>
  <si>
    <t>Японцы</t>
  </si>
  <si>
    <t>Татары</t>
  </si>
  <si>
    <t>Китайцы Пекина</t>
  </si>
  <si>
    <t>Украинцы</t>
  </si>
  <si>
    <t>Португальцы</t>
  </si>
  <si>
    <t>Код Национальности</t>
  </si>
  <si>
    <t>Employ</t>
  </si>
  <si>
    <t>Cost</t>
  </si>
  <si>
    <t>Albumin</t>
  </si>
  <si>
    <t>TransFerrin</t>
  </si>
  <si>
    <t>Ferritin</t>
  </si>
  <si>
    <t>Степан</t>
  </si>
  <si>
    <t>АО АЛМАЗ</t>
  </si>
  <si>
    <t>Федор</t>
  </si>
  <si>
    <t>НП ПРОГРЕСС</t>
  </si>
  <si>
    <t>Иван</t>
  </si>
  <si>
    <t>АО ВОСТОК</t>
  </si>
  <si>
    <t>Максим</t>
  </si>
  <si>
    <t>ОА СЕВЕР</t>
  </si>
  <si>
    <t>Евгений</t>
  </si>
  <si>
    <t>НФ ЛУЧ</t>
  </si>
  <si>
    <t>Курбан</t>
  </si>
  <si>
    <t>Малик</t>
  </si>
  <si>
    <t>Эльмир</t>
  </si>
  <si>
    <t>Далер</t>
  </si>
  <si>
    <t>Ильзат</t>
  </si>
  <si>
    <t>Михаил</t>
  </si>
  <si>
    <t>Павел</t>
  </si>
  <si>
    <t>Роберт</t>
  </si>
  <si>
    <t>Петр</t>
  </si>
  <si>
    <t>Фарид</t>
  </si>
  <si>
    <t>Гумар</t>
  </si>
  <si>
    <t>АО НЕВА</t>
  </si>
  <si>
    <t>Анна</t>
  </si>
  <si>
    <t>АО ОКА</t>
  </si>
  <si>
    <t>Ольга</t>
  </si>
  <si>
    <t>НП ВЕГА</t>
  </si>
  <si>
    <t>Ксения</t>
  </si>
  <si>
    <t>НП КОЛОС</t>
  </si>
  <si>
    <t>Оксана</t>
  </si>
  <si>
    <t>Марина</t>
  </si>
  <si>
    <t>Леонид</t>
  </si>
  <si>
    <t>Дамир</t>
  </si>
  <si>
    <t>Антон</t>
  </si>
  <si>
    <t>ФК МАРС</t>
  </si>
  <si>
    <t>Группы</t>
  </si>
  <si>
    <t>Альбумин</t>
  </si>
  <si>
    <t>Трасферрин</t>
  </si>
  <si>
    <t>Ферритин</t>
  </si>
  <si>
    <t>бессимптомное течение</t>
  </si>
  <si>
    <t>0.23-0.44</t>
  </si>
  <si>
    <t>0.14-0.32</t>
  </si>
  <si>
    <t>1.41-2.08</t>
  </si>
  <si>
    <t>маловыраженные односторонние изменения</t>
  </si>
  <si>
    <t>0.45-0.67</t>
  </si>
  <si>
    <t>0.33-0.72</t>
  </si>
  <si>
    <t>2.09-4.43</t>
  </si>
  <si>
    <t>маловыраженные двусторонние изменения</t>
  </si>
  <si>
    <t>0.68-0.89</t>
  </si>
  <si>
    <t>0.73-0.96</t>
  </si>
  <si>
    <t>4.44-6.53</t>
  </si>
  <si>
    <t>Группы пациентов (болезнь Паркинсона)</t>
  </si>
  <si>
    <t>social tax deduction</t>
  </si>
  <si>
    <t>Полезные ископаемые</t>
  </si>
  <si>
    <t>Энергия ионизации атома, ЭВ</t>
  </si>
  <si>
    <t>Относительная электроотрицательность</t>
  </si>
  <si>
    <t>Радиус атома, НМ</t>
  </si>
  <si>
    <t>Церий (редкоземельные)</t>
  </si>
  <si>
    <t>Лантан (редкоземельные)</t>
  </si>
  <si>
    <t>Самарий (редкоземельные)</t>
  </si>
  <si>
    <t>Европий (редкоземельные)</t>
  </si>
  <si>
    <t>Неодим (редкоземельные)</t>
  </si>
  <si>
    <t>Тербий (редкоземельные)</t>
  </si>
  <si>
    <t>Гадолиний (редкоземельные)</t>
  </si>
  <si>
    <t>Диспрозий (редкоземельные)</t>
  </si>
  <si>
    <t>Эрбий (редкоземельные)</t>
  </si>
  <si>
    <t>Гольмий (редкоземельные)</t>
  </si>
  <si>
    <t>Лютеций (редкоземельные)</t>
  </si>
  <si>
    <t>Иттрий (редкоземельные)</t>
  </si>
  <si>
    <t>Тулий (редкоземельные)</t>
  </si>
  <si>
    <t>Бериллий (легкие цветные металлы)</t>
  </si>
  <si>
    <t>Барий (легкие цветные металлы)</t>
  </si>
  <si>
    <t>Цинк (тяжелые)</t>
  </si>
  <si>
    <t>Олово (тяжелые)</t>
  </si>
  <si>
    <t>Титан (легкие)</t>
  </si>
  <si>
    <t>Литий (легкие)</t>
  </si>
  <si>
    <t>Рубидий (легкие)</t>
  </si>
  <si>
    <t>Цезий (легкие цветные металлы)</t>
  </si>
  <si>
    <t>Count</t>
  </si>
  <si>
    <t>PowerIOn</t>
  </si>
  <si>
    <t>Electro</t>
  </si>
  <si>
    <t>Radius</t>
  </si>
  <si>
    <t>Группы металлов</t>
  </si>
  <si>
    <t>редкоземельные</t>
  </si>
  <si>
    <t>легкие цветные</t>
  </si>
  <si>
    <t>тяжелые</t>
  </si>
  <si>
    <t>Церий</t>
  </si>
  <si>
    <t xml:space="preserve">Лантан </t>
  </si>
  <si>
    <t xml:space="preserve">Самарий </t>
  </si>
  <si>
    <t xml:space="preserve">Европий </t>
  </si>
  <si>
    <t xml:space="preserve">Неодим </t>
  </si>
  <si>
    <t>Бериллий</t>
  </si>
  <si>
    <t>Барий</t>
  </si>
  <si>
    <t>Титан</t>
  </si>
  <si>
    <t xml:space="preserve">Литий </t>
  </si>
  <si>
    <t xml:space="preserve">Рубидий </t>
  </si>
  <si>
    <t>Цинк</t>
  </si>
  <si>
    <t xml:space="preserve">Олово </t>
  </si>
  <si>
    <t>Место добычи</t>
  </si>
  <si>
    <t>Баян-Обо</t>
  </si>
  <si>
    <t>в Мурманской области</t>
  </si>
  <si>
    <t>Республику Сахи</t>
  </si>
  <si>
    <t>Республику Коми</t>
  </si>
  <si>
    <t>Красноярский край</t>
  </si>
  <si>
    <t>Соликамск</t>
  </si>
  <si>
    <t>Пхёнан-Пукто</t>
  </si>
  <si>
    <t>Маунтин-Пасс  США</t>
  </si>
  <si>
    <t>Сейс Лагос</t>
  </si>
  <si>
    <t>Боатоу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</si>
</sst>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 x14ac:knownFonts="1">
    <font>
      <sz val="11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0"/>
      <color theme="1"/>
      <name val="Cambria"/>
      <family val="1"/>
      <charset val="204"/>
    </font>
    <font>
      <sz val="9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1" xfId="0" applyBorder="1"/>
    <xf numFmtId="0" fontId="4" fillId="0" borderId="1" xfId="0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1" fillId="0" borderId="1" xfId="0" applyFont="1" applyBorder="1" applyAlignment="1">
      <alignment horizontal="justify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justify" vertical="top" wrapText="1"/>
    </xf>
    <xf numFmtId="0" fontId="1" fillId="0" borderId="1" xfId="0" applyFont="1" applyBorder="1" applyAlignment="1">
      <alignment vertical="top" wrapText="1"/>
    </xf>
    <xf numFmtId="0" fontId="3" fillId="0" borderId="1" xfId="0" applyFont="1" applyFill="1" applyBorder="1" applyAlignment="1">
      <alignment vertical="top" wrapText="1"/>
    </xf>
    <xf numFmtId="0" fontId="0" fillId="0" borderId="2" xfId="0" applyBorder="1"/>
    <xf numFmtId="0" fontId="0" fillId="0" borderId="3" xfId="0" applyBorder="1"/>
    <xf numFmtId="0" fontId="3" fillId="0" borderId="4" xfId="0" applyFont="1" applyBorder="1" applyAlignment="1">
      <alignment vertical="top" wrapText="1"/>
    </xf>
    <xf numFmtId="0" fontId="2" fillId="0" borderId="7" xfId="0" applyFont="1" applyBorder="1" applyAlignment="1">
      <alignment vertical="top" wrapText="1"/>
    </xf>
    <xf numFmtId="0" fontId="5" fillId="0" borderId="8" xfId="0" applyFont="1" applyBorder="1" applyAlignment="1">
      <alignment vertical="top" wrapText="1"/>
    </xf>
    <xf numFmtId="0" fontId="2" fillId="0" borderId="8" xfId="0" applyFont="1" applyBorder="1" applyAlignment="1">
      <alignment vertical="top" wrapText="1"/>
    </xf>
    <xf numFmtId="2" fontId="2" fillId="0" borderId="8" xfId="0" applyNumberFormat="1" applyFont="1" applyBorder="1" applyAlignment="1">
      <alignment vertical="top" wrapText="1"/>
    </xf>
    <xf numFmtId="0" fontId="0" fillId="0" borderId="1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4" fillId="5" borderId="5" xfId="0" applyFont="1" applyFill="1" applyBorder="1" applyAlignment="1">
      <alignment vertical="top" wrapText="1"/>
    </xf>
    <xf numFmtId="0" fontId="4" fillId="5" borderId="6" xfId="0" applyFont="1" applyFill="1" applyBorder="1" applyAlignment="1">
      <alignment vertical="top" wrapText="1"/>
    </xf>
    <xf numFmtId="0" fontId="3" fillId="5" borderId="6" xfId="0" applyFont="1" applyFill="1" applyBorder="1" applyAlignment="1">
      <alignment vertical="top" wrapText="1"/>
    </xf>
    <xf numFmtId="0" fontId="3" fillId="5" borderId="9" xfId="0" applyFont="1" applyFill="1" applyBorder="1" applyAlignment="1">
      <alignment vertical="top" wrapText="1"/>
    </xf>
    <xf numFmtId="0" fontId="0" fillId="5" borderId="1" xfId="0" applyFill="1" applyBorder="1" applyAlignment="1">
      <alignment wrapText="1"/>
    </xf>
    <xf numFmtId="0" fontId="0" fillId="7" borderId="1" xfId="0" applyFill="1" applyBorder="1" applyAlignment="1">
      <alignment wrapText="1"/>
    </xf>
    <xf numFmtId="0" fontId="0" fillId="6" borderId="1" xfId="0" applyFill="1" applyBorder="1"/>
    <xf numFmtId="0" fontId="0" fillId="7" borderId="1" xfId="0" applyFill="1" applyBorder="1"/>
    <xf numFmtId="0" fontId="0" fillId="2" borderId="1" xfId="0" applyFill="1" applyBorder="1"/>
    <xf numFmtId="0" fontId="0" fillId="8" borderId="1" xfId="0" applyFill="1" applyBorder="1"/>
    <xf numFmtId="0" fontId="6" fillId="9" borderId="1" xfId="0" applyFont="1" applyFill="1" applyBorder="1" applyAlignment="1">
      <alignment wrapText="1"/>
    </xf>
    <xf numFmtId="0" fontId="7" fillId="10" borderId="1" xfId="0" applyFont="1" applyFill="1" applyBorder="1" applyAlignment="1">
      <alignment wrapText="1"/>
    </xf>
    <xf numFmtId="2" fontId="0" fillId="0" borderId="1" xfId="0" applyNumberFormat="1" applyBorder="1"/>
    <xf numFmtId="164" fontId="0" fillId="0" borderId="1" xfId="0" applyNumberFormat="1" applyBorder="1"/>
    <xf numFmtId="0" fontId="0" fillId="6" borderId="0" xfId="0" applyFill="1" applyBorder="1"/>
    <xf numFmtId="0" fontId="0" fillId="2" borderId="0" xfId="0" applyFill="1" applyBorder="1"/>
    <xf numFmtId="0" fontId="0" fillId="8" borderId="0" xfId="0" applyFill="1" applyBorder="1"/>
    <xf numFmtId="0" fontId="0" fillId="6" borderId="0" xfId="0" applyFill="1" applyBorder="1" applyAlignment="1">
      <alignment wrapText="1"/>
    </xf>
    <xf numFmtId="0" fontId="6" fillId="2" borderId="1" xfId="0" applyFont="1" applyFill="1" applyBorder="1"/>
    <xf numFmtId="0" fontId="6" fillId="2" borderId="1" xfId="0" applyFont="1" applyFill="1" applyBorder="1" applyAlignment="1">
      <alignment wrapText="1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6"/>
  <sheetViews>
    <sheetView zoomScaleNormal="100" workbookViewId="0">
      <selection activeCell="E2" sqref="E2"/>
    </sheetView>
  </sheetViews>
  <sheetFormatPr defaultRowHeight="15" x14ac:dyDescent="0.25"/>
  <cols>
    <col min="4" max="4" width="12.140625" customWidth="1"/>
    <col min="7" max="7" width="13" customWidth="1"/>
    <col min="8" max="8" width="12.85546875" customWidth="1"/>
    <col min="9" max="9" width="11.85546875" customWidth="1"/>
  </cols>
  <sheetData>
    <row r="1" spans="1:19" ht="40.5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3" t="s">
        <v>6</v>
      </c>
      <c r="G1" s="3" t="s">
        <v>7</v>
      </c>
      <c r="H1" s="13" t="s">
        <v>8</v>
      </c>
      <c r="I1" s="3" t="s">
        <v>9</v>
      </c>
      <c r="J1" s="9" t="s">
        <v>10</v>
      </c>
      <c r="K1" s="10" t="s">
        <v>69</v>
      </c>
      <c r="M1" s="4" t="s">
        <v>0</v>
      </c>
      <c r="N1" s="4" t="s">
        <v>40</v>
      </c>
      <c r="O1" s="4" t="s">
        <v>41</v>
      </c>
      <c r="P1" s="4" t="s">
        <v>42</v>
      </c>
      <c r="Q1" s="4" t="s">
        <v>51</v>
      </c>
      <c r="R1" s="4" t="s">
        <v>43</v>
      </c>
    </row>
    <row r="2" spans="1:19" x14ac:dyDescent="0.25">
      <c r="A2" s="4">
        <v>1</v>
      </c>
      <c r="B2" s="5" t="s">
        <v>11</v>
      </c>
      <c r="C2" s="1">
        <f ca="1">RANDBETWEEN(1978,1995)</f>
        <v>1986</v>
      </c>
      <c r="D2" s="1">
        <f ca="1">RANDBETWEEN(C2+18,2015)</f>
        <v>2012</v>
      </c>
      <c r="E2" s="1">
        <f ca="1">IF(C2&lt;1990,(LOG10(2016-D2)+1)*9000,(LOG(2016-D2,2)+1)*9000)</f>
        <v>14418.539921951662</v>
      </c>
      <c r="F2" s="1">
        <f ca="1">RANDBETWEEN(1,7)</f>
        <v>4</v>
      </c>
      <c r="G2" s="11">
        <f ca="1">RANDBETWEEN(8,14)</f>
        <v>12</v>
      </c>
      <c r="H2" s="4">
        <f>VLOOKUP(K2,$M$11:$O$25,3,0)</f>
        <v>2</v>
      </c>
      <c r="I2" s="12">
        <f ca="1">RANDBETWEEN(15,22)</f>
        <v>15</v>
      </c>
      <c r="J2" s="4" t="s">
        <v>36</v>
      </c>
      <c r="K2" s="1">
        <v>14</v>
      </c>
      <c r="M2" s="4">
        <v>1</v>
      </c>
      <c r="N2" s="4" t="s">
        <v>44</v>
      </c>
      <c r="O2" s="4">
        <v>1</v>
      </c>
      <c r="P2" s="4">
        <v>8</v>
      </c>
      <c r="Q2" s="4">
        <v>15</v>
      </c>
      <c r="R2" s="4"/>
    </row>
    <row r="3" spans="1:19" x14ac:dyDescent="0.25">
      <c r="A3" s="4">
        <v>2</v>
      </c>
      <c r="B3" s="4" t="s">
        <v>12</v>
      </c>
      <c r="C3" s="1">
        <f t="shared" ref="C3:C26" ca="1" si="0">RANDBETWEEN(1978,1995)</f>
        <v>1980</v>
      </c>
      <c r="D3" s="1">
        <f t="shared" ref="D3:D26" ca="1" si="1">RANDBETWEEN(C3+18,2015)</f>
        <v>2010</v>
      </c>
      <c r="E3" s="1">
        <f ca="1">IF(C3&lt;1990,(LOG10(2016-D3)+1)*9000,(LOG(2016-D3,2)+1)*9000)</f>
        <v>16003.361253452793</v>
      </c>
      <c r="F3" s="1">
        <f t="shared" ref="F3:F26" ca="1" si="2">RANDBETWEEN(1,7)</f>
        <v>6</v>
      </c>
      <c r="G3" s="11">
        <f t="shared" ref="G3:G26" ca="1" si="3">RANDBETWEEN(8,14)</f>
        <v>12</v>
      </c>
      <c r="H3" s="4">
        <f t="shared" ref="H3:H26" si="4">VLOOKUP(K3,$M$11:$O$25,3,0)</f>
        <v>2</v>
      </c>
      <c r="I3" s="12">
        <f t="shared" ref="I3:I26" ca="1" si="5">RANDBETWEEN(15,22)</f>
        <v>22</v>
      </c>
      <c r="J3" s="4" t="s">
        <v>36</v>
      </c>
      <c r="K3" s="1">
        <v>14</v>
      </c>
      <c r="M3" s="4">
        <v>2</v>
      </c>
      <c r="N3" s="4" t="s">
        <v>45</v>
      </c>
      <c r="O3" s="4">
        <v>2</v>
      </c>
      <c r="P3" s="4">
        <v>9</v>
      </c>
      <c r="Q3" s="4">
        <v>16</v>
      </c>
      <c r="R3" s="4"/>
    </row>
    <row r="4" spans="1:19" x14ac:dyDescent="0.25">
      <c r="A4" s="4">
        <v>3</v>
      </c>
      <c r="B4" s="4" t="s">
        <v>13</v>
      </c>
      <c r="C4" s="1">
        <f t="shared" ca="1" si="0"/>
        <v>1994</v>
      </c>
      <c r="D4" s="1">
        <f t="shared" ca="1" si="1"/>
        <v>2013</v>
      </c>
      <c r="E4" s="1">
        <f t="shared" ref="E4:E26" ca="1" si="6">IF(C4&lt;1990,(LOG10(2016-D4)+1)*9000,(LOG(2016-D4,2)+1)*9000)</f>
        <v>23264.662506490404</v>
      </c>
      <c r="F4" s="1">
        <f t="shared" ca="1" si="2"/>
        <v>7</v>
      </c>
      <c r="G4" s="11">
        <f t="shared" ca="1" si="3"/>
        <v>8</v>
      </c>
      <c r="H4" s="4">
        <f t="shared" si="4"/>
        <v>2</v>
      </c>
      <c r="I4" s="12">
        <f t="shared" ca="1" si="5"/>
        <v>17</v>
      </c>
      <c r="J4" s="4" t="s">
        <v>36</v>
      </c>
      <c r="K4" s="1">
        <v>14</v>
      </c>
      <c r="M4" s="4">
        <v>3</v>
      </c>
      <c r="N4" s="4" t="s">
        <v>46</v>
      </c>
      <c r="O4" s="4">
        <v>3</v>
      </c>
      <c r="P4" s="4">
        <v>10</v>
      </c>
      <c r="Q4" s="4">
        <v>17</v>
      </c>
      <c r="R4" s="4"/>
    </row>
    <row r="5" spans="1:19" x14ac:dyDescent="0.25">
      <c r="A5" s="4">
        <v>4</v>
      </c>
      <c r="B5" s="4" t="s">
        <v>14</v>
      </c>
      <c r="C5" s="1">
        <f t="shared" ca="1" si="0"/>
        <v>1995</v>
      </c>
      <c r="D5" s="1">
        <f t="shared" ca="1" si="1"/>
        <v>2014</v>
      </c>
      <c r="E5" s="1">
        <f t="shared" ca="1" si="6"/>
        <v>18000</v>
      </c>
      <c r="F5" s="1">
        <f t="shared" ca="1" si="2"/>
        <v>3</v>
      </c>
      <c r="G5" s="11">
        <f t="shared" ca="1" si="3"/>
        <v>14</v>
      </c>
      <c r="H5" s="4">
        <f t="shared" si="4"/>
        <v>2</v>
      </c>
      <c r="I5" s="12">
        <f t="shared" ca="1" si="5"/>
        <v>16</v>
      </c>
      <c r="J5" s="4" t="s">
        <v>36</v>
      </c>
      <c r="K5" s="1">
        <v>14</v>
      </c>
      <c r="M5" s="4">
        <v>4</v>
      </c>
      <c r="N5" s="4" t="s">
        <v>47</v>
      </c>
      <c r="O5" s="4">
        <v>4</v>
      </c>
      <c r="P5" s="4">
        <v>11</v>
      </c>
      <c r="Q5" s="4">
        <v>18</v>
      </c>
      <c r="R5" s="4"/>
    </row>
    <row r="6" spans="1:19" x14ac:dyDescent="0.25">
      <c r="A6" s="4">
        <v>5</v>
      </c>
      <c r="B6" s="4" t="s">
        <v>15</v>
      </c>
      <c r="C6" s="1">
        <f t="shared" ca="1" si="0"/>
        <v>1988</v>
      </c>
      <c r="D6" s="1">
        <f t="shared" ca="1" si="1"/>
        <v>2006</v>
      </c>
      <c r="E6" s="1">
        <f t="shared" ca="1" si="6"/>
        <v>18000</v>
      </c>
      <c r="F6" s="1">
        <f t="shared" ca="1" si="2"/>
        <v>4</v>
      </c>
      <c r="G6" s="11">
        <f t="shared" ca="1" si="3"/>
        <v>8</v>
      </c>
      <c r="H6" s="4">
        <f t="shared" si="4"/>
        <v>2</v>
      </c>
      <c r="I6" s="12">
        <f t="shared" ca="1" si="5"/>
        <v>22</v>
      </c>
      <c r="J6" s="4" t="s">
        <v>36</v>
      </c>
      <c r="K6" s="1">
        <v>14</v>
      </c>
      <c r="M6" s="4">
        <v>5</v>
      </c>
      <c r="N6" s="4" t="s">
        <v>48</v>
      </c>
      <c r="O6" s="4">
        <v>5</v>
      </c>
      <c r="P6" s="4">
        <v>12</v>
      </c>
      <c r="Q6" s="4">
        <v>19</v>
      </c>
      <c r="R6" s="4"/>
    </row>
    <row r="7" spans="1:19" x14ac:dyDescent="0.25">
      <c r="A7" s="4">
        <v>6</v>
      </c>
      <c r="B7" s="4" t="s">
        <v>16</v>
      </c>
      <c r="C7" s="1">
        <f t="shared" ca="1" si="0"/>
        <v>1993</v>
      </c>
      <c r="D7" s="1">
        <f t="shared" ca="1" si="1"/>
        <v>2014</v>
      </c>
      <c r="E7" s="1">
        <f t="shared" ca="1" si="6"/>
        <v>18000</v>
      </c>
      <c r="F7" s="1">
        <f t="shared" ca="1" si="2"/>
        <v>4</v>
      </c>
      <c r="G7" s="11">
        <f t="shared" ca="1" si="3"/>
        <v>12</v>
      </c>
      <c r="H7" s="4">
        <f t="shared" si="4"/>
        <v>1</v>
      </c>
      <c r="I7" s="12">
        <f t="shared" ca="1" si="5"/>
        <v>18</v>
      </c>
      <c r="J7" s="4" t="s">
        <v>37</v>
      </c>
      <c r="K7" s="1">
        <v>9</v>
      </c>
      <c r="M7" s="4">
        <v>6</v>
      </c>
      <c r="N7" s="4" t="s">
        <v>49</v>
      </c>
      <c r="O7" s="4">
        <v>6</v>
      </c>
      <c r="P7" s="4">
        <v>13</v>
      </c>
      <c r="Q7" s="4">
        <v>21</v>
      </c>
      <c r="R7" s="4"/>
    </row>
    <row r="8" spans="1:19" ht="16.5" customHeight="1" x14ac:dyDescent="0.25">
      <c r="A8" s="4">
        <v>7</v>
      </c>
      <c r="B8" s="4" t="s">
        <v>17</v>
      </c>
      <c r="C8" s="1">
        <f t="shared" ca="1" si="0"/>
        <v>1984</v>
      </c>
      <c r="D8" s="1">
        <f t="shared" ca="1" si="1"/>
        <v>2009</v>
      </c>
      <c r="E8" s="1">
        <f t="shared" ca="1" si="6"/>
        <v>16605.882360128311</v>
      </c>
      <c r="F8" s="1">
        <f t="shared" ca="1" si="2"/>
        <v>5</v>
      </c>
      <c r="G8" s="11">
        <f t="shared" ca="1" si="3"/>
        <v>14</v>
      </c>
      <c r="H8" s="4">
        <f t="shared" si="4"/>
        <v>1</v>
      </c>
      <c r="I8" s="12">
        <f t="shared" ca="1" si="5"/>
        <v>22</v>
      </c>
      <c r="J8" s="4" t="s">
        <v>37</v>
      </c>
      <c r="K8" s="1">
        <v>9</v>
      </c>
      <c r="M8" s="4">
        <v>7</v>
      </c>
      <c r="N8" s="4" t="s">
        <v>50</v>
      </c>
      <c r="O8" s="4">
        <v>7</v>
      </c>
      <c r="P8" s="4">
        <v>14</v>
      </c>
      <c r="Q8" s="4">
        <v>22</v>
      </c>
      <c r="R8" s="4"/>
    </row>
    <row r="9" spans="1:19" x14ac:dyDescent="0.25">
      <c r="A9" s="4">
        <v>8</v>
      </c>
      <c r="B9" s="4" t="s">
        <v>18</v>
      </c>
      <c r="C9" s="1">
        <f t="shared" ca="1" si="0"/>
        <v>1980</v>
      </c>
      <c r="D9" s="1">
        <f t="shared" ca="1" si="1"/>
        <v>2009</v>
      </c>
      <c r="E9" s="1">
        <f t="shared" ca="1" si="6"/>
        <v>16605.882360128311</v>
      </c>
      <c r="F9" s="1">
        <f t="shared" ca="1" si="2"/>
        <v>3</v>
      </c>
      <c r="G9" s="11">
        <f t="shared" ca="1" si="3"/>
        <v>13</v>
      </c>
      <c r="H9" s="4">
        <f t="shared" si="4"/>
        <v>1</v>
      </c>
      <c r="I9" s="12">
        <f t="shared" ca="1" si="5"/>
        <v>15</v>
      </c>
      <c r="J9" s="4" t="s">
        <v>37</v>
      </c>
      <c r="K9" s="1">
        <v>9</v>
      </c>
    </row>
    <row r="10" spans="1:19" ht="51" x14ac:dyDescent="0.25">
      <c r="A10" s="4">
        <v>9</v>
      </c>
      <c r="B10" s="4" t="s">
        <v>19</v>
      </c>
      <c r="C10" s="1">
        <f t="shared" ca="1" si="0"/>
        <v>1986</v>
      </c>
      <c r="D10" s="1">
        <f t="shared" ca="1" si="1"/>
        <v>2008</v>
      </c>
      <c r="E10" s="1">
        <f t="shared" ca="1" si="6"/>
        <v>17127.809882927493</v>
      </c>
      <c r="F10" s="1">
        <f t="shared" ca="1" si="2"/>
        <v>2</v>
      </c>
      <c r="G10" s="11">
        <f t="shared" ca="1" si="3"/>
        <v>14</v>
      </c>
      <c r="H10" s="4">
        <f t="shared" si="4"/>
        <v>1</v>
      </c>
      <c r="I10" s="12">
        <f t="shared" ca="1" si="5"/>
        <v>15</v>
      </c>
      <c r="J10" s="4" t="s">
        <v>37</v>
      </c>
      <c r="K10" s="1">
        <v>9</v>
      </c>
      <c r="M10" s="6" t="s">
        <v>0</v>
      </c>
      <c r="N10" s="6" t="s">
        <v>52</v>
      </c>
      <c r="O10" s="7" t="s">
        <v>53</v>
      </c>
      <c r="P10" s="6" t="s">
        <v>43</v>
      </c>
      <c r="Q10" s="4" t="s">
        <v>41</v>
      </c>
      <c r="R10" s="4" t="s">
        <v>42</v>
      </c>
      <c r="S10" s="4" t="s">
        <v>51</v>
      </c>
    </row>
    <row r="11" spans="1:19" x14ac:dyDescent="0.25">
      <c r="A11" s="4">
        <v>10</v>
      </c>
      <c r="B11" s="4" t="s">
        <v>20</v>
      </c>
      <c r="C11" s="1">
        <f t="shared" ca="1" si="0"/>
        <v>1989</v>
      </c>
      <c r="D11" s="1">
        <f t="shared" ca="1" si="1"/>
        <v>2012</v>
      </c>
      <c r="E11" s="1">
        <f t="shared" ca="1" si="6"/>
        <v>14418.539921951662</v>
      </c>
      <c r="F11" s="1">
        <f t="shared" ca="1" si="2"/>
        <v>7</v>
      </c>
      <c r="G11" s="11">
        <f t="shared" ca="1" si="3"/>
        <v>12</v>
      </c>
      <c r="H11" s="4">
        <f t="shared" si="4"/>
        <v>1</v>
      </c>
      <c r="I11" s="12">
        <f t="shared" ca="1" si="5"/>
        <v>16</v>
      </c>
      <c r="J11" s="4" t="s">
        <v>37</v>
      </c>
      <c r="K11" s="1">
        <v>9</v>
      </c>
      <c r="M11" s="8">
        <v>1</v>
      </c>
      <c r="N11" s="8" t="s">
        <v>54</v>
      </c>
      <c r="O11" s="8">
        <v>1</v>
      </c>
      <c r="P11" s="8"/>
      <c r="Q11" s="1"/>
      <c r="R11" s="1"/>
      <c r="S11" s="1"/>
    </row>
    <row r="12" spans="1:19" ht="25.5" x14ac:dyDescent="0.25">
      <c r="A12" s="4">
        <v>11</v>
      </c>
      <c r="B12" s="4" t="s">
        <v>21</v>
      </c>
      <c r="C12" s="1">
        <f t="shared" ca="1" si="0"/>
        <v>1983</v>
      </c>
      <c r="D12" s="1">
        <f t="shared" ca="1" si="1"/>
        <v>2006</v>
      </c>
      <c r="E12" s="1">
        <f t="shared" ca="1" si="6"/>
        <v>18000</v>
      </c>
      <c r="F12" s="1">
        <f t="shared" ca="1" si="2"/>
        <v>4</v>
      </c>
      <c r="G12" s="11">
        <f t="shared" ca="1" si="3"/>
        <v>12</v>
      </c>
      <c r="H12" s="4">
        <f t="shared" si="4"/>
        <v>1</v>
      </c>
      <c r="I12" s="12">
        <f t="shared" ca="1" si="5"/>
        <v>19</v>
      </c>
      <c r="J12" s="4" t="s">
        <v>37</v>
      </c>
      <c r="K12" s="1">
        <v>9</v>
      </c>
      <c r="M12" s="8">
        <v>2</v>
      </c>
      <c r="N12" s="8" t="s">
        <v>55</v>
      </c>
      <c r="O12" s="8">
        <v>1</v>
      </c>
      <c r="P12" s="8"/>
      <c r="Q12" s="1"/>
      <c r="R12" s="1"/>
      <c r="S12" s="1"/>
    </row>
    <row r="13" spans="1:19" ht="25.5" x14ac:dyDescent="0.25">
      <c r="A13" s="4">
        <v>12</v>
      </c>
      <c r="B13" s="4" t="s">
        <v>22</v>
      </c>
      <c r="C13" s="1">
        <f t="shared" ca="1" si="0"/>
        <v>1983</v>
      </c>
      <c r="D13" s="1">
        <f t="shared" ca="1" si="1"/>
        <v>2011</v>
      </c>
      <c r="E13" s="1">
        <f t="shared" ca="1" si="6"/>
        <v>15290.730039024169</v>
      </c>
      <c r="F13" s="1">
        <f t="shared" ca="1" si="2"/>
        <v>4</v>
      </c>
      <c r="G13" s="11">
        <f t="shared" ca="1" si="3"/>
        <v>12</v>
      </c>
      <c r="H13" s="4">
        <f t="shared" si="4"/>
        <v>1</v>
      </c>
      <c r="I13" s="12">
        <f t="shared" ca="1" si="5"/>
        <v>20</v>
      </c>
      <c r="J13" s="4" t="s">
        <v>37</v>
      </c>
      <c r="K13" s="1">
        <v>9</v>
      </c>
      <c r="M13" s="8">
        <v>3</v>
      </c>
      <c r="N13" s="8" t="s">
        <v>56</v>
      </c>
      <c r="O13" s="8">
        <v>1</v>
      </c>
      <c r="P13" s="8"/>
      <c r="Q13" s="1"/>
      <c r="R13" s="1"/>
      <c r="S13" s="1"/>
    </row>
    <row r="14" spans="1:19" x14ac:dyDescent="0.25">
      <c r="A14" s="4">
        <v>13</v>
      </c>
      <c r="B14" s="4" t="s">
        <v>23</v>
      </c>
      <c r="C14" s="1">
        <f t="shared" ca="1" si="0"/>
        <v>1982</v>
      </c>
      <c r="D14" s="1">
        <f t="shared" ca="1" si="1"/>
        <v>2004</v>
      </c>
      <c r="E14" s="1">
        <f t="shared" ca="1" si="6"/>
        <v>18712.631214428628</v>
      </c>
      <c r="F14" s="1">
        <f t="shared" ca="1" si="2"/>
        <v>3</v>
      </c>
      <c r="G14" s="11">
        <f t="shared" ca="1" si="3"/>
        <v>10</v>
      </c>
      <c r="H14" s="4">
        <f t="shared" si="4"/>
        <v>2</v>
      </c>
      <c r="I14" s="12">
        <f t="shared" ca="1" si="5"/>
        <v>19</v>
      </c>
      <c r="J14" s="4" t="s">
        <v>38</v>
      </c>
      <c r="K14" s="1">
        <v>4</v>
      </c>
      <c r="M14" s="8">
        <v>4</v>
      </c>
      <c r="N14" s="8" t="s">
        <v>57</v>
      </c>
      <c r="O14" s="8">
        <v>2</v>
      </c>
      <c r="P14" s="8"/>
      <c r="Q14" s="1"/>
      <c r="R14" s="1"/>
      <c r="S14" s="1"/>
    </row>
    <row r="15" spans="1:19" x14ac:dyDescent="0.25">
      <c r="A15" s="4">
        <v>14</v>
      </c>
      <c r="B15" s="4" t="s">
        <v>24</v>
      </c>
      <c r="C15" s="1">
        <f t="shared" ca="1" si="0"/>
        <v>1994</v>
      </c>
      <c r="D15" s="1">
        <f t="shared" ca="1" si="1"/>
        <v>2014</v>
      </c>
      <c r="E15" s="1">
        <f t="shared" ca="1" si="6"/>
        <v>18000</v>
      </c>
      <c r="F15" s="1">
        <f t="shared" ca="1" si="2"/>
        <v>3</v>
      </c>
      <c r="G15" s="11">
        <f t="shared" ca="1" si="3"/>
        <v>12</v>
      </c>
      <c r="H15" s="4">
        <f t="shared" si="4"/>
        <v>2</v>
      </c>
      <c r="I15" s="12">
        <f t="shared" ca="1" si="5"/>
        <v>16</v>
      </c>
      <c r="J15" s="4" t="s">
        <v>38</v>
      </c>
      <c r="K15" s="1">
        <v>4</v>
      </c>
      <c r="M15" s="8">
        <v>5</v>
      </c>
      <c r="N15" s="8" t="s">
        <v>58</v>
      </c>
      <c r="O15" s="8">
        <v>2</v>
      </c>
      <c r="P15" s="8"/>
      <c r="Q15" s="1"/>
      <c r="R15" s="1"/>
      <c r="S15" s="1"/>
    </row>
    <row r="16" spans="1:19" x14ac:dyDescent="0.25">
      <c r="A16" s="4">
        <v>15</v>
      </c>
      <c r="B16" s="4" t="s">
        <v>25</v>
      </c>
      <c r="C16" s="1">
        <f t="shared" ca="1" si="0"/>
        <v>1992</v>
      </c>
      <c r="D16" s="1">
        <f t="shared" ca="1" si="1"/>
        <v>2013</v>
      </c>
      <c r="E16" s="1">
        <f t="shared" ca="1" si="6"/>
        <v>23264.662506490404</v>
      </c>
      <c r="F16" s="1">
        <f t="shared" ca="1" si="2"/>
        <v>5</v>
      </c>
      <c r="G16" s="11">
        <f t="shared" ca="1" si="3"/>
        <v>9</v>
      </c>
      <c r="H16" s="4">
        <f t="shared" si="4"/>
        <v>2</v>
      </c>
      <c r="I16" s="12">
        <f t="shared" ca="1" si="5"/>
        <v>17</v>
      </c>
      <c r="J16" s="4" t="s">
        <v>38</v>
      </c>
      <c r="K16" s="1">
        <v>4</v>
      </c>
      <c r="M16" s="8">
        <v>6</v>
      </c>
      <c r="N16" s="8" t="s">
        <v>59</v>
      </c>
      <c r="O16" s="8">
        <v>2</v>
      </c>
      <c r="P16" s="8"/>
      <c r="Q16" s="1"/>
      <c r="R16" s="1"/>
      <c r="S16" s="1"/>
    </row>
    <row r="17" spans="1:19" x14ac:dyDescent="0.25">
      <c r="A17" s="4">
        <v>16</v>
      </c>
      <c r="B17" s="4" t="s">
        <v>26</v>
      </c>
      <c r="C17" s="1">
        <f t="shared" ca="1" si="0"/>
        <v>1991</v>
      </c>
      <c r="D17" s="1">
        <f t="shared" ca="1" si="1"/>
        <v>2012</v>
      </c>
      <c r="E17" s="1">
        <f t="shared" ca="1" si="6"/>
        <v>27000</v>
      </c>
      <c r="F17" s="1">
        <f t="shared" ca="1" si="2"/>
        <v>4</v>
      </c>
      <c r="G17" s="11">
        <f t="shared" ca="1" si="3"/>
        <v>8</v>
      </c>
      <c r="H17" s="4">
        <f t="shared" si="4"/>
        <v>2</v>
      </c>
      <c r="I17" s="12">
        <f t="shared" ca="1" si="5"/>
        <v>17</v>
      </c>
      <c r="J17" s="4" t="s">
        <v>38</v>
      </c>
      <c r="K17" s="1">
        <v>4</v>
      </c>
      <c r="M17" s="8">
        <v>7</v>
      </c>
      <c r="N17" s="8" t="s">
        <v>60</v>
      </c>
      <c r="O17" s="8">
        <v>2</v>
      </c>
      <c r="P17" s="8"/>
      <c r="Q17" s="1"/>
      <c r="R17" s="1"/>
      <c r="S17" s="1"/>
    </row>
    <row r="18" spans="1:19" x14ac:dyDescent="0.25">
      <c r="A18" s="4">
        <v>17</v>
      </c>
      <c r="B18" s="4" t="s">
        <v>27</v>
      </c>
      <c r="C18" s="1">
        <f t="shared" ca="1" si="0"/>
        <v>1982</v>
      </c>
      <c r="D18" s="1">
        <f t="shared" ca="1" si="1"/>
        <v>2000</v>
      </c>
      <c r="E18" s="1">
        <f t="shared" ca="1" si="6"/>
        <v>19837.079843903324</v>
      </c>
      <c r="F18" s="1">
        <f t="shared" ca="1" si="2"/>
        <v>7</v>
      </c>
      <c r="G18" s="11">
        <f t="shared" ca="1" si="3"/>
        <v>9</v>
      </c>
      <c r="H18" s="4">
        <f t="shared" si="4"/>
        <v>2</v>
      </c>
      <c r="I18" s="12">
        <f t="shared" ca="1" si="5"/>
        <v>17</v>
      </c>
      <c r="J18" s="4" t="s">
        <v>38</v>
      </c>
      <c r="K18" s="1">
        <v>4</v>
      </c>
      <c r="M18" s="8">
        <v>8</v>
      </c>
      <c r="N18" s="8" t="s">
        <v>61</v>
      </c>
      <c r="O18" s="8">
        <v>1</v>
      </c>
      <c r="P18" s="8"/>
      <c r="Q18" s="1"/>
      <c r="R18" s="1"/>
      <c r="S18" s="1"/>
    </row>
    <row r="19" spans="1:19" x14ac:dyDescent="0.25">
      <c r="A19" s="4">
        <v>18</v>
      </c>
      <c r="B19" s="4" t="s">
        <v>28</v>
      </c>
      <c r="C19" s="1">
        <f t="shared" ca="1" si="0"/>
        <v>1987</v>
      </c>
      <c r="D19" s="1">
        <f t="shared" ca="1" si="1"/>
        <v>2015</v>
      </c>
      <c r="E19" s="1">
        <f t="shared" ca="1" si="6"/>
        <v>9000</v>
      </c>
      <c r="F19" s="1">
        <f t="shared" ca="1" si="2"/>
        <v>2</v>
      </c>
      <c r="G19" s="11">
        <f t="shared" ca="1" si="3"/>
        <v>11</v>
      </c>
      <c r="H19" s="4">
        <f t="shared" si="4"/>
        <v>2</v>
      </c>
      <c r="I19" s="12">
        <f t="shared" ca="1" si="5"/>
        <v>18</v>
      </c>
      <c r="J19" s="4" t="s">
        <v>38</v>
      </c>
      <c r="K19" s="1">
        <v>4</v>
      </c>
      <c r="M19" s="8">
        <v>9</v>
      </c>
      <c r="N19" s="8" t="s">
        <v>62</v>
      </c>
      <c r="O19" s="8">
        <v>1</v>
      </c>
      <c r="P19" s="8"/>
      <c r="Q19" s="1"/>
      <c r="R19" s="1"/>
      <c r="S19" s="1"/>
    </row>
    <row r="20" spans="1:19" ht="25.5" x14ac:dyDescent="0.25">
      <c r="A20" s="4">
        <v>19</v>
      </c>
      <c r="B20" s="4" t="s">
        <v>29</v>
      </c>
      <c r="C20" s="1">
        <f t="shared" ca="1" si="0"/>
        <v>1993</v>
      </c>
      <c r="D20" s="1">
        <f t="shared" ca="1" si="1"/>
        <v>2014</v>
      </c>
      <c r="E20" s="1">
        <f t="shared" ca="1" si="6"/>
        <v>18000</v>
      </c>
      <c r="F20" s="1">
        <f t="shared" ca="1" si="2"/>
        <v>1</v>
      </c>
      <c r="G20" s="11">
        <f t="shared" ca="1" si="3"/>
        <v>13</v>
      </c>
      <c r="H20" s="4">
        <f t="shared" si="4"/>
        <v>2</v>
      </c>
      <c r="I20" s="12">
        <f t="shared" ca="1" si="5"/>
        <v>18</v>
      </c>
      <c r="J20" s="4" t="s">
        <v>38</v>
      </c>
      <c r="K20" s="1">
        <v>4</v>
      </c>
      <c r="M20" s="8">
        <v>10</v>
      </c>
      <c r="N20" s="8" t="s">
        <v>63</v>
      </c>
      <c r="O20" s="8">
        <v>3</v>
      </c>
      <c r="P20" s="8"/>
      <c r="Q20" s="1"/>
      <c r="R20" s="1"/>
      <c r="S20" s="1"/>
    </row>
    <row r="21" spans="1:19" x14ac:dyDescent="0.25">
      <c r="A21" s="4">
        <v>20</v>
      </c>
      <c r="B21" s="4" t="s">
        <v>30</v>
      </c>
      <c r="C21" s="1">
        <f t="shared" ca="1" si="0"/>
        <v>1994</v>
      </c>
      <c r="D21" s="1">
        <f t="shared" ca="1" si="1"/>
        <v>2013</v>
      </c>
      <c r="E21" s="1">
        <f t="shared" ca="1" si="6"/>
        <v>23264.662506490404</v>
      </c>
      <c r="F21" s="1">
        <f t="shared" ca="1" si="2"/>
        <v>6</v>
      </c>
      <c r="G21" s="11">
        <f t="shared" ca="1" si="3"/>
        <v>11</v>
      </c>
      <c r="H21" s="4">
        <f t="shared" si="4"/>
        <v>3</v>
      </c>
      <c r="I21" s="12">
        <f t="shared" ca="1" si="5"/>
        <v>21</v>
      </c>
      <c r="J21" s="4" t="s">
        <v>39</v>
      </c>
      <c r="K21" s="1">
        <v>10</v>
      </c>
      <c r="M21" s="8">
        <v>11</v>
      </c>
      <c r="N21" s="8" t="s">
        <v>64</v>
      </c>
      <c r="O21" s="8">
        <v>2</v>
      </c>
      <c r="P21" s="8"/>
      <c r="Q21" s="1"/>
      <c r="R21" s="1"/>
      <c r="S21" s="1"/>
    </row>
    <row r="22" spans="1:19" x14ac:dyDescent="0.25">
      <c r="A22" s="4">
        <v>21</v>
      </c>
      <c r="B22" s="4" t="s">
        <v>31</v>
      </c>
      <c r="C22" s="1">
        <f t="shared" ca="1" si="0"/>
        <v>1992</v>
      </c>
      <c r="D22" s="1">
        <f t="shared" ca="1" si="1"/>
        <v>2014</v>
      </c>
      <c r="E22" s="1">
        <f t="shared" ca="1" si="6"/>
        <v>18000</v>
      </c>
      <c r="F22" s="1">
        <f t="shared" ca="1" si="2"/>
        <v>4</v>
      </c>
      <c r="G22" s="11">
        <f t="shared" ca="1" si="3"/>
        <v>8</v>
      </c>
      <c r="H22" s="4">
        <f t="shared" si="4"/>
        <v>3</v>
      </c>
      <c r="I22" s="12">
        <f t="shared" ca="1" si="5"/>
        <v>17</v>
      </c>
      <c r="J22" s="4" t="s">
        <v>39</v>
      </c>
      <c r="K22" s="1">
        <v>10</v>
      </c>
      <c r="M22" s="8">
        <v>12</v>
      </c>
      <c r="N22" s="8" t="s">
        <v>65</v>
      </c>
      <c r="O22" s="8">
        <v>2</v>
      </c>
      <c r="P22" s="8"/>
      <c r="Q22" s="1"/>
      <c r="R22" s="1"/>
      <c r="S22" s="1"/>
    </row>
    <row r="23" spans="1:19" ht="25.5" x14ac:dyDescent="0.25">
      <c r="A23" s="4">
        <v>22</v>
      </c>
      <c r="B23" s="4" t="s">
        <v>32</v>
      </c>
      <c r="C23" s="1">
        <f t="shared" ca="1" si="0"/>
        <v>1994</v>
      </c>
      <c r="D23" s="1">
        <f t="shared" ca="1" si="1"/>
        <v>2013</v>
      </c>
      <c r="E23" s="1">
        <f t="shared" ca="1" si="6"/>
        <v>23264.662506490404</v>
      </c>
      <c r="F23" s="1">
        <f t="shared" ca="1" si="2"/>
        <v>7</v>
      </c>
      <c r="G23" s="11">
        <f t="shared" ca="1" si="3"/>
        <v>10</v>
      </c>
      <c r="H23" s="4">
        <f t="shared" si="4"/>
        <v>3</v>
      </c>
      <c r="I23" s="12">
        <f t="shared" ca="1" si="5"/>
        <v>18</v>
      </c>
      <c r="J23" s="4" t="s">
        <v>39</v>
      </c>
      <c r="K23" s="1">
        <v>10</v>
      </c>
      <c r="M23" s="8">
        <v>13</v>
      </c>
      <c r="N23" s="8" t="s">
        <v>66</v>
      </c>
      <c r="O23" s="8">
        <v>3</v>
      </c>
      <c r="P23" s="8"/>
      <c r="Q23" s="1"/>
      <c r="R23" s="1"/>
      <c r="S23" s="1"/>
    </row>
    <row r="24" spans="1:19" ht="25.5" x14ac:dyDescent="0.25">
      <c r="A24" s="4">
        <v>23</v>
      </c>
      <c r="B24" s="4" t="s">
        <v>33</v>
      </c>
      <c r="C24" s="1">
        <f t="shared" ca="1" si="0"/>
        <v>1989</v>
      </c>
      <c r="D24" s="1">
        <f t="shared" ca="1" si="1"/>
        <v>2014</v>
      </c>
      <c r="E24" s="1">
        <f t="shared" ca="1" si="6"/>
        <v>11709.269960975831</v>
      </c>
      <c r="F24" s="1">
        <f t="shared" ca="1" si="2"/>
        <v>4</v>
      </c>
      <c r="G24" s="11">
        <f t="shared" ca="1" si="3"/>
        <v>14</v>
      </c>
      <c r="H24" s="4">
        <f t="shared" si="4"/>
        <v>3</v>
      </c>
      <c r="I24" s="12">
        <f t="shared" ca="1" si="5"/>
        <v>18</v>
      </c>
      <c r="J24" s="4" t="s">
        <v>39</v>
      </c>
      <c r="K24" s="1">
        <v>10</v>
      </c>
      <c r="M24" s="8">
        <v>14</v>
      </c>
      <c r="N24" s="8" t="s">
        <v>67</v>
      </c>
      <c r="O24" s="8">
        <v>2</v>
      </c>
      <c r="P24" s="8"/>
      <c r="Q24" s="1"/>
      <c r="R24" s="1"/>
      <c r="S24" s="1"/>
    </row>
    <row r="25" spans="1:19" ht="25.5" x14ac:dyDescent="0.25">
      <c r="A25" s="4">
        <v>24</v>
      </c>
      <c r="B25" s="4" t="s">
        <v>34</v>
      </c>
      <c r="C25" s="1">
        <f t="shared" ca="1" si="0"/>
        <v>1983</v>
      </c>
      <c r="D25" s="1">
        <f t="shared" ca="1" si="1"/>
        <v>2006</v>
      </c>
      <c r="E25" s="1">
        <f t="shared" ca="1" si="6"/>
        <v>18000</v>
      </c>
      <c r="F25" s="1">
        <f t="shared" ca="1" si="2"/>
        <v>4</v>
      </c>
      <c r="G25" s="11">
        <f t="shared" ca="1" si="3"/>
        <v>12</v>
      </c>
      <c r="H25" s="4">
        <f t="shared" si="4"/>
        <v>3</v>
      </c>
      <c r="I25" s="12">
        <f t="shared" ca="1" si="5"/>
        <v>15</v>
      </c>
      <c r="J25" s="4" t="s">
        <v>39</v>
      </c>
      <c r="K25" s="1">
        <v>10</v>
      </c>
      <c r="M25" s="8">
        <v>15</v>
      </c>
      <c r="N25" s="8" t="s">
        <v>68</v>
      </c>
      <c r="O25" s="8">
        <v>2</v>
      </c>
      <c r="P25" s="8"/>
      <c r="Q25" s="1"/>
      <c r="R25" s="1"/>
      <c r="S25" s="1"/>
    </row>
    <row r="26" spans="1:19" x14ac:dyDescent="0.25">
      <c r="A26" s="4">
        <v>25</v>
      </c>
      <c r="B26" s="4" t="s">
        <v>35</v>
      </c>
      <c r="C26" s="1">
        <f t="shared" ca="1" si="0"/>
        <v>1982</v>
      </c>
      <c r="D26" s="1">
        <f t="shared" ca="1" si="1"/>
        <v>2011</v>
      </c>
      <c r="E26" s="1">
        <f t="shared" ca="1" si="6"/>
        <v>15290.730039024169</v>
      </c>
      <c r="F26" s="1">
        <f t="shared" ca="1" si="2"/>
        <v>5</v>
      </c>
      <c r="G26" s="11">
        <f t="shared" ca="1" si="3"/>
        <v>13</v>
      </c>
      <c r="H26" s="4">
        <f t="shared" si="4"/>
        <v>3</v>
      </c>
      <c r="I26" s="12">
        <f t="shared" ca="1" si="5"/>
        <v>22</v>
      </c>
      <c r="J26" s="4" t="s">
        <v>39</v>
      </c>
      <c r="K26" s="1">
        <v>10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34"/>
  <sheetViews>
    <sheetView zoomScale="80" zoomScaleNormal="80" workbookViewId="0">
      <selection activeCell="F2" sqref="F2"/>
    </sheetView>
  </sheetViews>
  <sheetFormatPr defaultRowHeight="15" x14ac:dyDescent="0.25"/>
  <cols>
    <col min="3" max="3" width="11.85546875" customWidth="1"/>
    <col min="4" max="4" width="24.28515625" customWidth="1"/>
    <col min="5" max="6" width="13.140625" customWidth="1"/>
    <col min="7" max="7" width="12.42578125" bestFit="1" customWidth="1"/>
    <col min="8" max="8" width="11.140625" customWidth="1"/>
    <col min="9" max="9" width="14" customWidth="1"/>
    <col min="10" max="10" width="13.28515625" customWidth="1"/>
    <col min="11" max="11" width="23.7109375" customWidth="1"/>
  </cols>
  <sheetData>
    <row r="1" spans="1:11" ht="27.75" thickBot="1" x14ac:dyDescent="0.3">
      <c r="A1" s="22" t="s">
        <v>1</v>
      </c>
      <c r="B1" s="23" t="s">
        <v>2</v>
      </c>
      <c r="C1" s="23" t="s">
        <v>3</v>
      </c>
      <c r="D1" s="23" t="s">
        <v>70</v>
      </c>
      <c r="E1" s="23" t="s">
        <v>5</v>
      </c>
      <c r="F1" s="23" t="s">
        <v>126</v>
      </c>
      <c r="G1" s="24" t="s">
        <v>71</v>
      </c>
      <c r="H1" s="24" t="s">
        <v>72</v>
      </c>
      <c r="I1" s="24" t="s">
        <v>73</v>
      </c>
      <c r="J1" s="24" t="s">
        <v>74</v>
      </c>
      <c r="K1" s="25" t="s">
        <v>125</v>
      </c>
    </row>
    <row r="2" spans="1:11" ht="30.75" thickBot="1" x14ac:dyDescent="0.3">
      <c r="A2" s="14">
        <v>1</v>
      </c>
      <c r="B2" s="15" t="s">
        <v>75</v>
      </c>
      <c r="C2" s="16">
        <f ca="1">RANDBETWEEN(1971,1997)</f>
        <v>1982</v>
      </c>
      <c r="D2" s="16" t="s">
        <v>76</v>
      </c>
      <c r="E2" s="16">
        <f ca="1">RANDBETWEEN(27000,64000)</f>
        <v>61547</v>
      </c>
      <c r="F2" s="17">
        <f ca="1">IF(C2&lt;1991,(LOG10(2015-C2))*11000*13/100,(LOG(2015-C2,2)+1)*11000*13/100)</f>
        <v>2171.4749340253793</v>
      </c>
      <c r="G2" s="17">
        <f ca="1">IF(C2&lt;1991,(LOG10(2013-C2))*11000,(LOG(2013-C2,2)+1)*11000)</f>
        <v>16404.978632177001</v>
      </c>
      <c r="H2" s="16">
        <f ca="1">RANDBETWEEN(23,44)/1000</f>
        <v>3.3000000000000002E-2</v>
      </c>
      <c r="I2" s="16">
        <f ca="1">RANDBETWEEN(14,32)/1000</f>
        <v>0.02</v>
      </c>
      <c r="J2" s="16">
        <f ca="1">RANDBETWEEN(141,208)/100</f>
        <v>1.83</v>
      </c>
      <c r="K2" s="19" t="s">
        <v>113</v>
      </c>
    </row>
    <row r="3" spans="1:11" ht="30.75" thickBot="1" x14ac:dyDescent="0.3">
      <c r="A3" s="14">
        <v>2</v>
      </c>
      <c r="B3" s="16" t="s">
        <v>77</v>
      </c>
      <c r="C3" s="16">
        <f t="shared" ref="C3:C25" ca="1" si="0">RANDBETWEEN(1971,1997)</f>
        <v>1997</v>
      </c>
      <c r="D3" s="16" t="s">
        <v>78</v>
      </c>
      <c r="E3" s="16">
        <f t="shared" ref="E3:E25" ca="1" si="1">RANDBETWEEN(27000,64000)</f>
        <v>35061</v>
      </c>
      <c r="F3" s="17">
        <f t="shared" ref="F3:F25" ca="1" si="2">IF(C3&lt;1991,(LOG10(2015-C3))*11000*13/100,(LOG(2015-C3,2)+1)*11000*13/100)</f>
        <v>7392.992752062506</v>
      </c>
      <c r="G3" s="17">
        <f t="shared" ref="G3:G25" ca="1" si="3">IF(C3&lt;1991,(LOG10(2013-C3))*11000,(LOG(2013-C3,2)+1)*11000)</f>
        <v>55000</v>
      </c>
      <c r="H3" s="16">
        <f t="shared" ref="H3:H9" ca="1" si="4">RANDBETWEEN(23,44)/1000</f>
        <v>2.8000000000000001E-2</v>
      </c>
      <c r="I3" s="16">
        <f t="shared" ref="I3:I9" ca="1" si="5">RANDBETWEEN(14,32)/1000</f>
        <v>2.5999999999999999E-2</v>
      </c>
      <c r="J3" s="16">
        <f t="shared" ref="J3:J9" ca="1" si="6">RANDBETWEEN(141,208)/100</f>
        <v>1.81</v>
      </c>
      <c r="K3" s="19" t="s">
        <v>113</v>
      </c>
    </row>
    <row r="4" spans="1:11" ht="30.75" thickBot="1" x14ac:dyDescent="0.3">
      <c r="A4" s="14">
        <v>3</v>
      </c>
      <c r="B4" s="16" t="s">
        <v>79</v>
      </c>
      <c r="C4" s="16">
        <f t="shared" ca="1" si="0"/>
        <v>1972</v>
      </c>
      <c r="D4" s="16" t="s">
        <v>80</v>
      </c>
      <c r="E4" s="16">
        <f t="shared" ca="1" si="1"/>
        <v>45455</v>
      </c>
      <c r="F4" s="17">
        <f t="shared" ca="1" si="2"/>
        <v>2335.8598914788085</v>
      </c>
      <c r="G4" s="17">
        <f t="shared" ca="1" si="3"/>
        <v>17740.622423917092</v>
      </c>
      <c r="H4" s="16">
        <f t="shared" ca="1" si="4"/>
        <v>3.1E-2</v>
      </c>
      <c r="I4" s="16">
        <f t="shared" ca="1" si="5"/>
        <v>2.1000000000000001E-2</v>
      </c>
      <c r="J4" s="16">
        <f t="shared" ca="1" si="6"/>
        <v>2.06</v>
      </c>
      <c r="K4" s="19" t="s">
        <v>113</v>
      </c>
    </row>
    <row r="5" spans="1:11" ht="30.75" thickBot="1" x14ac:dyDescent="0.3">
      <c r="A5" s="14">
        <v>4</v>
      </c>
      <c r="B5" s="16" t="s">
        <v>81</v>
      </c>
      <c r="C5" s="16">
        <f t="shared" ca="1" si="0"/>
        <v>1974</v>
      </c>
      <c r="D5" s="16" t="s">
        <v>82</v>
      </c>
      <c r="E5" s="16">
        <f t="shared" ca="1" si="1"/>
        <v>62470</v>
      </c>
      <c r="F5" s="17">
        <f t="shared" ca="1" si="2"/>
        <v>2306.280915109222</v>
      </c>
      <c r="G5" s="17">
        <f t="shared" ca="1" si="3"/>
        <v>17501.710677291489</v>
      </c>
      <c r="H5" s="16">
        <f t="shared" ca="1" si="4"/>
        <v>4.2000000000000003E-2</v>
      </c>
      <c r="I5" s="16">
        <f t="shared" ca="1" si="5"/>
        <v>3.1E-2</v>
      </c>
      <c r="J5" s="16">
        <f t="shared" ca="1" si="6"/>
        <v>2.0299999999999998</v>
      </c>
      <c r="K5" s="19" t="s">
        <v>113</v>
      </c>
    </row>
    <row r="6" spans="1:11" ht="30.75" thickBot="1" x14ac:dyDescent="0.3">
      <c r="A6" s="14">
        <v>5</v>
      </c>
      <c r="B6" s="16" t="s">
        <v>83</v>
      </c>
      <c r="C6" s="16">
        <f t="shared" ca="1" si="0"/>
        <v>1990</v>
      </c>
      <c r="D6" s="16" t="s">
        <v>84</v>
      </c>
      <c r="E6" s="16">
        <f t="shared" ca="1" si="1"/>
        <v>31928</v>
      </c>
      <c r="F6" s="17">
        <f t="shared" ca="1" si="2"/>
        <v>1999.054212401014</v>
      </c>
      <c r="G6" s="17">
        <f t="shared" ca="1" si="3"/>
        <v>14979.006196193521</v>
      </c>
      <c r="H6" s="16">
        <f t="shared" ca="1" si="4"/>
        <v>3.2000000000000001E-2</v>
      </c>
      <c r="I6" s="16">
        <f t="shared" ca="1" si="5"/>
        <v>2.9000000000000001E-2</v>
      </c>
      <c r="J6" s="16">
        <f t="shared" ca="1" si="6"/>
        <v>1.5</v>
      </c>
      <c r="K6" s="19" t="s">
        <v>113</v>
      </c>
    </row>
    <row r="7" spans="1:11" ht="30.75" thickBot="1" x14ac:dyDescent="0.3">
      <c r="A7" s="14">
        <v>6</v>
      </c>
      <c r="B7" s="16" t="s">
        <v>85</v>
      </c>
      <c r="C7" s="16">
        <f t="shared" ca="1" si="0"/>
        <v>1992</v>
      </c>
      <c r="D7" s="16" t="s">
        <v>76</v>
      </c>
      <c r="E7" s="16">
        <f t="shared" ca="1" si="1"/>
        <v>29228</v>
      </c>
      <c r="F7" s="17">
        <f t="shared" ca="1" si="2"/>
        <v>7898.6935971615276</v>
      </c>
      <c r="G7" s="17">
        <f t="shared" ca="1" si="3"/>
        <v>59315.491650566364</v>
      </c>
      <c r="H7" s="16">
        <f t="shared" ca="1" si="4"/>
        <v>4.2999999999999997E-2</v>
      </c>
      <c r="I7" s="16">
        <f t="shared" ca="1" si="5"/>
        <v>1.7999999999999999E-2</v>
      </c>
      <c r="J7" s="16">
        <f t="shared" ca="1" si="6"/>
        <v>1.82</v>
      </c>
      <c r="K7" s="19" t="s">
        <v>113</v>
      </c>
    </row>
    <row r="8" spans="1:11" ht="30.75" thickBot="1" x14ac:dyDescent="0.3">
      <c r="A8" s="14">
        <v>7</v>
      </c>
      <c r="B8" s="16" t="s">
        <v>86</v>
      </c>
      <c r="C8" s="16">
        <f t="shared" ca="1" si="0"/>
        <v>1976</v>
      </c>
      <c r="D8" s="16" t="s">
        <v>78</v>
      </c>
      <c r="E8" s="16">
        <f t="shared" ca="1" si="1"/>
        <v>52105</v>
      </c>
      <c r="F8" s="17">
        <f t="shared" ca="1" si="2"/>
        <v>2275.2223880478937</v>
      </c>
      <c r="G8" s="17">
        <f t="shared" ca="1" si="3"/>
        <v>17250.218964736945</v>
      </c>
      <c r="H8" s="16">
        <f t="shared" ca="1" si="4"/>
        <v>4.2000000000000003E-2</v>
      </c>
      <c r="I8" s="16">
        <f t="shared" ca="1" si="5"/>
        <v>3.1E-2</v>
      </c>
      <c r="J8" s="17">
        <f t="shared" ca="1" si="6"/>
        <v>1.94</v>
      </c>
      <c r="K8" s="19" t="s">
        <v>113</v>
      </c>
    </row>
    <row r="9" spans="1:11" ht="30.75" thickBot="1" x14ac:dyDescent="0.3">
      <c r="A9" s="14">
        <v>8</v>
      </c>
      <c r="B9" s="16" t="s">
        <v>87</v>
      </c>
      <c r="C9" s="16">
        <f t="shared" ca="1" si="0"/>
        <v>1980</v>
      </c>
      <c r="D9" s="16" t="s">
        <v>80</v>
      </c>
      <c r="E9" s="16">
        <f t="shared" ca="1" si="1"/>
        <v>52587</v>
      </c>
      <c r="F9" s="17">
        <f t="shared" ca="1" si="2"/>
        <v>2208.0173034208942</v>
      </c>
      <c r="G9" s="17">
        <f t="shared" ca="1" si="3"/>
        <v>16703.653338656764</v>
      </c>
      <c r="H9" s="16">
        <f t="shared" ca="1" si="4"/>
        <v>2.9000000000000001E-2</v>
      </c>
      <c r="I9" s="16">
        <f t="shared" ca="1" si="5"/>
        <v>1.7999999999999999E-2</v>
      </c>
      <c r="J9" s="16">
        <f t="shared" ca="1" si="6"/>
        <v>1.91</v>
      </c>
      <c r="K9" s="19" t="s">
        <v>113</v>
      </c>
    </row>
    <row r="10" spans="1:11" ht="45.75" thickBot="1" x14ac:dyDescent="0.3">
      <c r="A10" s="14">
        <v>9</v>
      </c>
      <c r="B10" s="16" t="s">
        <v>88</v>
      </c>
      <c r="C10" s="16">
        <f t="shared" ca="1" si="0"/>
        <v>1975</v>
      </c>
      <c r="D10" s="16" t="s">
        <v>82</v>
      </c>
      <c r="E10" s="16">
        <f t="shared" ca="1" si="1"/>
        <v>52328</v>
      </c>
      <c r="F10" s="17">
        <f t="shared" ca="1" si="2"/>
        <v>2290.945787598986</v>
      </c>
      <c r="G10" s="17">
        <f t="shared" ca="1" si="3"/>
        <v>17377.619562784912</v>
      </c>
      <c r="H10" s="16">
        <f ca="1">RANDBETWEEN(45,67)/1000</f>
        <v>4.7E-2</v>
      </c>
      <c r="I10" s="16">
        <f ca="1">RANDBETWEEN(33,72)/1000</f>
        <v>6.9000000000000006E-2</v>
      </c>
      <c r="J10" s="16">
        <f ca="1">RANDBETWEEN(209,443)/100</f>
        <v>3.1</v>
      </c>
      <c r="K10" s="20" t="s">
        <v>117</v>
      </c>
    </row>
    <row r="11" spans="1:11" ht="45.75" thickBot="1" x14ac:dyDescent="0.3">
      <c r="A11" s="14">
        <v>10</v>
      </c>
      <c r="B11" s="16" t="s">
        <v>89</v>
      </c>
      <c r="C11" s="16">
        <f t="shared" ca="1" si="0"/>
        <v>1982</v>
      </c>
      <c r="D11" s="16" t="s">
        <v>84</v>
      </c>
      <c r="E11" s="16">
        <f t="shared" ca="1" si="1"/>
        <v>37106</v>
      </c>
      <c r="F11" s="17">
        <f t="shared" ca="1" si="2"/>
        <v>2171.4749340253793</v>
      </c>
      <c r="G11" s="17">
        <f t="shared" ca="1" si="3"/>
        <v>16404.978632177001</v>
      </c>
      <c r="H11" s="16">
        <f t="shared" ref="H11:H17" ca="1" si="7">RANDBETWEEN(45,67)/1000</f>
        <v>5.3999999999999999E-2</v>
      </c>
      <c r="I11" s="16">
        <f t="shared" ref="I11:I17" ca="1" si="8">RANDBETWEEN(33,72)/1000</f>
        <v>3.5999999999999997E-2</v>
      </c>
      <c r="J11" s="16">
        <f t="shared" ref="J11:J17" ca="1" si="9">RANDBETWEEN(209,443)/100</f>
        <v>3.77</v>
      </c>
      <c r="K11" s="20" t="s">
        <v>117</v>
      </c>
    </row>
    <row r="12" spans="1:11" ht="45.75" thickBot="1" x14ac:dyDescent="0.3">
      <c r="A12" s="14">
        <v>11</v>
      </c>
      <c r="B12" s="16" t="s">
        <v>90</v>
      </c>
      <c r="C12" s="16">
        <f t="shared" ca="1" si="0"/>
        <v>1980</v>
      </c>
      <c r="D12" s="16" t="s">
        <v>76</v>
      </c>
      <c r="E12" s="16">
        <f t="shared" ca="1" si="1"/>
        <v>59755</v>
      </c>
      <c r="F12" s="17">
        <f t="shared" ca="1" si="2"/>
        <v>2208.0173034208942</v>
      </c>
      <c r="G12" s="17">
        <f t="shared" ca="1" si="3"/>
        <v>16703.653338656764</v>
      </c>
      <c r="H12" s="16">
        <f t="shared" ca="1" si="7"/>
        <v>6.0999999999999999E-2</v>
      </c>
      <c r="I12" s="16">
        <f t="shared" ca="1" si="8"/>
        <v>0.06</v>
      </c>
      <c r="J12" s="16">
        <f t="shared" ca="1" si="9"/>
        <v>2.94</v>
      </c>
      <c r="K12" s="20" t="s">
        <v>117</v>
      </c>
    </row>
    <row r="13" spans="1:11" ht="45.75" thickBot="1" x14ac:dyDescent="0.3">
      <c r="A13" s="14">
        <v>12</v>
      </c>
      <c r="B13" s="16" t="s">
        <v>91</v>
      </c>
      <c r="C13" s="16">
        <f t="shared" ca="1" si="0"/>
        <v>1985</v>
      </c>
      <c r="D13" s="16" t="s">
        <v>78</v>
      </c>
      <c r="E13" s="16">
        <f t="shared" ca="1" si="1"/>
        <v>62256</v>
      </c>
      <c r="F13" s="17">
        <f t="shared" ca="1" si="2"/>
        <v>2112.283394249117</v>
      </c>
      <c r="G13" s="17">
        <f t="shared" ca="1" si="3"/>
        <v>15918.738344764412</v>
      </c>
      <c r="H13" s="16">
        <f t="shared" ca="1" si="7"/>
        <v>6.2E-2</v>
      </c>
      <c r="I13" s="16">
        <f t="shared" ca="1" si="8"/>
        <v>3.4000000000000002E-2</v>
      </c>
      <c r="J13" s="16">
        <f t="shared" ca="1" si="9"/>
        <v>3.49</v>
      </c>
      <c r="K13" s="20" t="s">
        <v>117</v>
      </c>
    </row>
    <row r="14" spans="1:11" ht="45.75" thickBot="1" x14ac:dyDescent="0.3">
      <c r="A14" s="14">
        <v>13</v>
      </c>
      <c r="B14" s="16" t="s">
        <v>92</v>
      </c>
      <c r="C14" s="16">
        <f t="shared" ca="1" si="0"/>
        <v>1997</v>
      </c>
      <c r="D14" s="16" t="s">
        <v>80</v>
      </c>
      <c r="E14" s="16">
        <f t="shared" ca="1" si="1"/>
        <v>55940</v>
      </c>
      <c r="F14" s="17">
        <f t="shared" ca="1" si="2"/>
        <v>7392.992752062506</v>
      </c>
      <c r="G14" s="17">
        <f t="shared" ca="1" si="3"/>
        <v>55000</v>
      </c>
      <c r="H14" s="16">
        <f t="shared" ca="1" si="7"/>
        <v>4.4999999999999998E-2</v>
      </c>
      <c r="I14" s="16">
        <f t="shared" ca="1" si="8"/>
        <v>4.2999999999999997E-2</v>
      </c>
      <c r="J14" s="16">
        <f t="shared" ca="1" si="9"/>
        <v>2.66</v>
      </c>
      <c r="K14" s="20" t="s">
        <v>117</v>
      </c>
    </row>
    <row r="15" spans="1:11" ht="45.75" thickBot="1" x14ac:dyDescent="0.3">
      <c r="A15" s="14">
        <v>14</v>
      </c>
      <c r="B15" s="16" t="s">
        <v>93</v>
      </c>
      <c r="C15" s="16">
        <f t="shared" ca="1" si="0"/>
        <v>1977</v>
      </c>
      <c r="D15" s="16" t="s">
        <v>82</v>
      </c>
      <c r="E15" s="16">
        <f t="shared" ca="1" si="1"/>
        <v>43480</v>
      </c>
      <c r="F15" s="17">
        <f t="shared" ca="1" si="2"/>
        <v>2259.0905431620386</v>
      </c>
      <c r="G15" s="17">
        <f t="shared" ca="1" si="3"/>
        <v>17119.327508440161</v>
      </c>
      <c r="H15" s="16">
        <f t="shared" ca="1" si="7"/>
        <v>5.5E-2</v>
      </c>
      <c r="I15" s="16">
        <f t="shared" ca="1" si="8"/>
        <v>4.2999999999999997E-2</v>
      </c>
      <c r="J15" s="16">
        <f t="shared" ca="1" si="9"/>
        <v>4.29</v>
      </c>
      <c r="K15" s="20" t="s">
        <v>117</v>
      </c>
    </row>
    <row r="16" spans="1:11" ht="45.75" thickBot="1" x14ac:dyDescent="0.3">
      <c r="A16" s="14">
        <v>15</v>
      </c>
      <c r="B16" s="16" t="s">
        <v>94</v>
      </c>
      <c r="C16" s="16">
        <f t="shared" ca="1" si="0"/>
        <v>1982</v>
      </c>
      <c r="D16" s="16" t="s">
        <v>84</v>
      </c>
      <c r="E16" s="16">
        <f t="shared" ca="1" si="1"/>
        <v>51667</v>
      </c>
      <c r="F16" s="17">
        <f t="shared" ca="1" si="2"/>
        <v>2171.4749340253793</v>
      </c>
      <c r="G16" s="17">
        <f t="shared" ca="1" si="3"/>
        <v>16404.978632177001</v>
      </c>
      <c r="H16" s="16">
        <f t="shared" ca="1" si="7"/>
        <v>6.5000000000000002E-2</v>
      </c>
      <c r="I16" s="16">
        <f t="shared" ca="1" si="8"/>
        <v>4.2000000000000003E-2</v>
      </c>
      <c r="J16" s="16">
        <f t="shared" ca="1" si="9"/>
        <v>3.05</v>
      </c>
      <c r="K16" s="20" t="s">
        <v>117</v>
      </c>
    </row>
    <row r="17" spans="1:11" ht="45.75" thickBot="1" x14ac:dyDescent="0.3">
      <c r="A17" s="14">
        <v>16</v>
      </c>
      <c r="B17" s="16" t="s">
        <v>95</v>
      </c>
      <c r="C17" s="16">
        <f t="shared" ca="1" si="0"/>
        <v>1996</v>
      </c>
      <c r="D17" s="16" t="s">
        <v>96</v>
      </c>
      <c r="E17" s="16">
        <f t="shared" ca="1" si="1"/>
        <v>42487</v>
      </c>
      <c r="F17" s="17">
        <f t="shared" ca="1" si="2"/>
        <v>7504.5363442243261</v>
      </c>
      <c r="G17" s="17">
        <f t="shared" ca="1" si="3"/>
        <v>55962.091253753737</v>
      </c>
      <c r="H17" s="16">
        <f t="shared" ca="1" si="7"/>
        <v>5.1999999999999998E-2</v>
      </c>
      <c r="I17" s="16">
        <f t="shared" ca="1" si="8"/>
        <v>7.0999999999999994E-2</v>
      </c>
      <c r="J17" s="16">
        <f t="shared" ca="1" si="9"/>
        <v>2.21</v>
      </c>
      <c r="K17" s="20" t="s">
        <v>117</v>
      </c>
    </row>
    <row r="18" spans="1:11" ht="45.75" thickBot="1" x14ac:dyDescent="0.3">
      <c r="A18" s="14">
        <v>17</v>
      </c>
      <c r="B18" s="16" t="s">
        <v>97</v>
      </c>
      <c r="C18" s="16">
        <f t="shared" ca="1" si="0"/>
        <v>1989</v>
      </c>
      <c r="D18" s="16" t="s">
        <v>98</v>
      </c>
      <c r="E18" s="16">
        <f t="shared" ca="1" si="1"/>
        <v>61332</v>
      </c>
      <c r="F18" s="17">
        <f t="shared" ca="1" si="2"/>
        <v>2023.4118875982697</v>
      </c>
      <c r="G18" s="17">
        <f t="shared" ca="1" si="3"/>
        <v>15182.323658827665</v>
      </c>
      <c r="H18" s="16">
        <f ca="1">RANDBETWEEN(68,89)/1000</f>
        <v>7.2999999999999995E-2</v>
      </c>
      <c r="I18" s="16">
        <f ca="1">RANDBETWEEN(73,96)/1000</f>
        <v>8.6999999999999994E-2</v>
      </c>
      <c r="J18" s="16">
        <f ca="1">RANDBETWEEN(444,653)/100</f>
        <v>4.6399999999999997</v>
      </c>
      <c r="K18" s="21" t="s">
        <v>121</v>
      </c>
    </row>
    <row r="19" spans="1:11" ht="45.75" thickBot="1" x14ac:dyDescent="0.3">
      <c r="A19" s="14">
        <v>18</v>
      </c>
      <c r="B19" s="16" t="s">
        <v>99</v>
      </c>
      <c r="C19" s="16">
        <f t="shared" ca="1" si="0"/>
        <v>1987</v>
      </c>
      <c r="D19" s="16" t="s">
        <v>100</v>
      </c>
      <c r="E19" s="16">
        <f t="shared" ca="1" si="1"/>
        <v>60034</v>
      </c>
      <c r="F19" s="17">
        <f t="shared" ca="1" si="2"/>
        <v>2069.4359848193735</v>
      </c>
      <c r="G19" s="17">
        <f t="shared" ca="1" si="3"/>
        <v>15564.706827678998</v>
      </c>
      <c r="H19" s="16">
        <f t="shared" ref="H19:H25" ca="1" si="10">RANDBETWEEN(68,89)/1000</f>
        <v>7.1999999999999995E-2</v>
      </c>
      <c r="I19" s="16">
        <f t="shared" ref="I19:I25" ca="1" si="11">RANDBETWEEN(73,96)/1000</f>
        <v>8.7999999999999995E-2</v>
      </c>
      <c r="J19" s="16">
        <f t="shared" ref="J19:J25" ca="1" si="12">RANDBETWEEN(444,653)/100</f>
        <v>6.5</v>
      </c>
      <c r="K19" s="21" t="s">
        <v>121</v>
      </c>
    </row>
    <row r="20" spans="1:11" ht="45.75" thickBot="1" x14ac:dyDescent="0.3">
      <c r="A20" s="14">
        <v>19</v>
      </c>
      <c r="B20" s="16" t="s">
        <v>101</v>
      </c>
      <c r="C20" s="16">
        <f t="shared" ca="1" si="0"/>
        <v>1987</v>
      </c>
      <c r="D20" s="16" t="s">
        <v>102</v>
      </c>
      <c r="E20" s="16">
        <f t="shared" ca="1" si="1"/>
        <v>47512</v>
      </c>
      <c r="F20" s="17">
        <f t="shared" ca="1" si="2"/>
        <v>2069.4359848193735</v>
      </c>
      <c r="G20" s="17">
        <f t="shared" ca="1" si="3"/>
        <v>15564.706827678998</v>
      </c>
      <c r="H20" s="16">
        <f t="shared" ca="1" si="10"/>
        <v>0.08</v>
      </c>
      <c r="I20" s="16">
        <f t="shared" ca="1" si="11"/>
        <v>9.5000000000000001E-2</v>
      </c>
      <c r="J20" s="16">
        <f t="shared" ca="1" si="12"/>
        <v>4.6399999999999997</v>
      </c>
      <c r="K20" s="21" t="s">
        <v>121</v>
      </c>
    </row>
    <row r="21" spans="1:11" ht="45.75" thickBot="1" x14ac:dyDescent="0.3">
      <c r="A21" s="14">
        <v>20</v>
      </c>
      <c r="B21" s="16" t="s">
        <v>103</v>
      </c>
      <c r="C21" s="16">
        <f t="shared" ca="1" si="0"/>
        <v>1978</v>
      </c>
      <c r="D21" s="16" t="s">
        <v>96</v>
      </c>
      <c r="E21" s="16">
        <f t="shared" ca="1" si="1"/>
        <v>36688</v>
      </c>
      <c r="F21" s="17">
        <f t="shared" ca="1" si="2"/>
        <v>2242.5284654158027</v>
      </c>
      <c r="G21" s="17">
        <f t="shared" ca="1" si="3"/>
        <v>16984.748487853034</v>
      </c>
      <c r="H21" s="16">
        <f t="shared" ca="1" si="10"/>
        <v>8.8999999999999996E-2</v>
      </c>
      <c r="I21" s="16">
        <f t="shared" ca="1" si="11"/>
        <v>7.6999999999999999E-2</v>
      </c>
      <c r="J21" s="16">
        <f t="shared" ca="1" si="12"/>
        <v>6.49</v>
      </c>
      <c r="K21" s="21" t="s">
        <v>121</v>
      </c>
    </row>
    <row r="22" spans="1:11" ht="45.75" thickBot="1" x14ac:dyDescent="0.3">
      <c r="A22" s="14">
        <v>21</v>
      </c>
      <c r="B22" s="16" t="s">
        <v>104</v>
      </c>
      <c r="C22" s="16">
        <f t="shared" ca="1" si="0"/>
        <v>1972</v>
      </c>
      <c r="D22" s="16" t="s">
        <v>98</v>
      </c>
      <c r="E22" s="16">
        <f t="shared" ca="1" si="1"/>
        <v>45930</v>
      </c>
      <c r="F22" s="17">
        <f t="shared" ca="1" si="2"/>
        <v>2335.8598914788085</v>
      </c>
      <c r="G22" s="17">
        <f t="shared" ca="1" si="3"/>
        <v>17740.622423917092</v>
      </c>
      <c r="H22" s="16">
        <f t="shared" ca="1" si="10"/>
        <v>6.8000000000000005E-2</v>
      </c>
      <c r="I22" s="16">
        <f t="shared" ca="1" si="11"/>
        <v>8.5000000000000006E-2</v>
      </c>
      <c r="J22" s="16">
        <f t="shared" ca="1" si="12"/>
        <v>4.54</v>
      </c>
      <c r="K22" s="21" t="s">
        <v>121</v>
      </c>
    </row>
    <row r="23" spans="1:11" ht="45.75" thickBot="1" x14ac:dyDescent="0.3">
      <c r="A23" s="14">
        <v>22</v>
      </c>
      <c r="B23" s="16" t="s">
        <v>105</v>
      </c>
      <c r="C23" s="16">
        <f t="shared" ca="1" si="0"/>
        <v>1994</v>
      </c>
      <c r="D23" s="16" t="s">
        <v>100</v>
      </c>
      <c r="E23" s="16">
        <f t="shared" ca="1" si="1"/>
        <v>51937</v>
      </c>
      <c r="F23" s="17">
        <f t="shared" ca="1" si="2"/>
        <v>7711.0139145736266</v>
      </c>
      <c r="G23" s="17">
        <f t="shared" ca="1" si="3"/>
        <v>57727.202647879436</v>
      </c>
      <c r="H23" s="16">
        <f t="shared" ca="1" si="10"/>
        <v>8.2000000000000003E-2</v>
      </c>
      <c r="I23" s="16">
        <f t="shared" ca="1" si="11"/>
        <v>8.1000000000000003E-2</v>
      </c>
      <c r="J23" s="16">
        <f t="shared" ca="1" si="12"/>
        <v>5.04</v>
      </c>
      <c r="K23" s="21" t="s">
        <v>121</v>
      </c>
    </row>
    <row r="24" spans="1:11" ht="45.75" thickBot="1" x14ac:dyDescent="0.3">
      <c r="A24" s="14">
        <v>23</v>
      </c>
      <c r="B24" s="16" t="s">
        <v>106</v>
      </c>
      <c r="C24" s="16">
        <f t="shared" ca="1" si="0"/>
        <v>1984</v>
      </c>
      <c r="D24" s="16" t="s">
        <v>102</v>
      </c>
      <c r="E24" s="16">
        <f t="shared" ca="1" si="1"/>
        <v>37546</v>
      </c>
      <c r="F24" s="17">
        <f t="shared" ca="1" si="2"/>
        <v>2132.6472221830099</v>
      </c>
      <c r="G24" s="17">
        <f t="shared" ca="1" si="3"/>
        <v>16086.377976888516</v>
      </c>
      <c r="H24" s="16">
        <f t="shared" ca="1" si="10"/>
        <v>7.6999999999999999E-2</v>
      </c>
      <c r="I24" s="16">
        <f t="shared" ca="1" si="11"/>
        <v>9.5000000000000001E-2</v>
      </c>
      <c r="J24" s="16">
        <f t="shared" ca="1" si="12"/>
        <v>5.68</v>
      </c>
      <c r="K24" s="21" t="s">
        <v>121</v>
      </c>
    </row>
    <row r="25" spans="1:11" ht="45.75" thickBot="1" x14ac:dyDescent="0.3">
      <c r="A25" s="14">
        <v>24</v>
      </c>
      <c r="B25" s="16" t="s">
        <v>107</v>
      </c>
      <c r="C25" s="16">
        <f t="shared" ca="1" si="0"/>
        <v>1979</v>
      </c>
      <c r="D25" s="16" t="s">
        <v>108</v>
      </c>
      <c r="E25" s="16">
        <f t="shared" ca="1" si="1"/>
        <v>49348</v>
      </c>
      <c r="F25" s="17">
        <f t="shared" ca="1" si="2"/>
        <v>2225.512576097221</v>
      </c>
      <c r="G25" s="17">
        <f t="shared" ca="1" si="3"/>
        <v>16846.268087464807</v>
      </c>
      <c r="H25" s="16">
        <f t="shared" ca="1" si="10"/>
        <v>7.2999999999999995E-2</v>
      </c>
      <c r="I25" s="16">
        <f t="shared" ca="1" si="11"/>
        <v>7.6999999999999999E-2</v>
      </c>
      <c r="J25" s="16">
        <f t="shared" ca="1" si="12"/>
        <v>5.32</v>
      </c>
      <c r="K25" s="21" t="s">
        <v>121</v>
      </c>
    </row>
    <row r="31" spans="1:11" x14ac:dyDescent="0.25">
      <c r="C31" s="18" t="s">
        <v>0</v>
      </c>
      <c r="D31" s="18" t="s">
        <v>109</v>
      </c>
      <c r="E31" s="18" t="s">
        <v>110</v>
      </c>
      <c r="F31" s="18"/>
      <c r="G31" s="18" t="s">
        <v>111</v>
      </c>
      <c r="H31" s="18" t="s">
        <v>112</v>
      </c>
    </row>
    <row r="32" spans="1:11" x14ac:dyDescent="0.25">
      <c r="C32" s="18">
        <v>1</v>
      </c>
      <c r="D32" s="18" t="s">
        <v>113</v>
      </c>
      <c r="E32" s="18" t="s">
        <v>114</v>
      </c>
      <c r="F32" s="18"/>
      <c r="G32" s="18" t="s">
        <v>115</v>
      </c>
      <c r="H32" s="18" t="s">
        <v>116</v>
      </c>
    </row>
    <row r="33" spans="3:8" ht="45" x14ac:dyDescent="0.25">
      <c r="C33" s="18">
        <v>2</v>
      </c>
      <c r="D33" s="18" t="s">
        <v>117</v>
      </c>
      <c r="E33" s="18" t="s">
        <v>118</v>
      </c>
      <c r="F33" s="18"/>
      <c r="G33" s="18" t="s">
        <v>119</v>
      </c>
      <c r="H33" s="18" t="s">
        <v>120</v>
      </c>
    </row>
    <row r="34" spans="3:8" ht="45" x14ac:dyDescent="0.25">
      <c r="C34" s="18">
        <v>3</v>
      </c>
      <c r="D34" s="18" t="s">
        <v>121</v>
      </c>
      <c r="E34" s="18" t="s">
        <v>122</v>
      </c>
      <c r="F34" s="18"/>
      <c r="G34" s="18" t="s">
        <v>123</v>
      </c>
      <c r="H34" s="18" t="s">
        <v>124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1"/>
  <sheetViews>
    <sheetView tabSelected="1" topLeftCell="A13" workbookViewId="0">
      <selection activeCell="J23" sqref="J23"/>
    </sheetView>
  </sheetViews>
  <sheetFormatPr defaultRowHeight="15" x14ac:dyDescent="0.25"/>
  <cols>
    <col min="6" max="6" width="11.42578125" customWidth="1"/>
    <col min="8" max="8" width="13.85546875" customWidth="1"/>
    <col min="11" max="11" width="20.28515625" customWidth="1"/>
    <col min="12" max="12" width="14" customWidth="1"/>
    <col min="15" max="15" width="17.28515625" customWidth="1"/>
    <col min="16" max="16" width="18.28515625" customWidth="1"/>
    <col min="17" max="17" width="21.85546875" customWidth="1"/>
    <col min="18" max="18" width="25.5703125" customWidth="1"/>
  </cols>
  <sheetData>
    <row r="1" spans="1:18" ht="30" x14ac:dyDescent="0.25">
      <c r="A1" s="20" t="s">
        <v>1</v>
      </c>
      <c r="B1" s="20" t="s">
        <v>2</v>
      </c>
      <c r="C1" s="20" t="s">
        <v>3</v>
      </c>
      <c r="D1" s="20" t="s">
        <v>152</v>
      </c>
      <c r="E1" s="20" t="s">
        <v>5</v>
      </c>
      <c r="F1" s="20" t="s">
        <v>126</v>
      </c>
      <c r="G1" s="20" t="s">
        <v>71</v>
      </c>
      <c r="H1" s="32" t="s">
        <v>153</v>
      </c>
      <c r="I1" s="32" t="s">
        <v>154</v>
      </c>
      <c r="J1" s="32" t="s">
        <v>155</v>
      </c>
      <c r="K1" s="33" t="s">
        <v>156</v>
      </c>
      <c r="L1" s="33" t="s">
        <v>172</v>
      </c>
      <c r="M1" s="18"/>
    </row>
    <row r="2" spans="1:18" ht="45" customHeight="1" x14ac:dyDescent="0.25">
      <c r="A2" s="1">
        <v>1</v>
      </c>
      <c r="B2" s="27" t="s">
        <v>160</v>
      </c>
      <c r="C2" s="1">
        <f ca="1">RANDBETWEEN(1967,2005)</f>
        <v>1981</v>
      </c>
      <c r="D2" s="1">
        <f ca="1">RANDBETWEEN(12000,80000)</f>
        <v>57208</v>
      </c>
      <c r="E2" s="1">
        <f ca="1">IF(C2&gt;2020,(LOG10(2006-C2)+1)*45000,(LOG(2013+C2,2)+1)*73000)</f>
        <v>946344.15907340997</v>
      </c>
      <c r="F2" s="34">
        <f ca="1">IF(C2&lt;1989,(LOG10(2006-C2))*45000*7/100,(LOG(2006-C2,2)+1)*65000*7/100)</f>
        <v>4403.5110273169194</v>
      </c>
      <c r="G2" s="1">
        <f ca="1">IF(C2&lt;1989,(LOG10(2006-C2)+1)*45000,(LOG(2006-C2,2)+1)*65000)</f>
        <v>107907.30039024168</v>
      </c>
      <c r="H2" s="1">
        <f ca="1">RANDBETWEEN(54,58)/10</f>
        <v>5.7</v>
      </c>
      <c r="I2" s="1">
        <f ca="1">RANDBETWEEN(8,14)/10</f>
        <v>1.3</v>
      </c>
      <c r="J2" s="1">
        <f ca="1">RANDBETWEEN(163,199)/1000</f>
        <v>0.19</v>
      </c>
      <c r="K2" s="28" t="s">
        <v>157</v>
      </c>
      <c r="L2" s="36" t="s">
        <v>173</v>
      </c>
      <c r="N2" s="26" t="s">
        <v>0</v>
      </c>
      <c r="O2" s="26" t="s">
        <v>127</v>
      </c>
      <c r="P2" s="26" t="s">
        <v>128</v>
      </c>
      <c r="Q2" s="26" t="s">
        <v>129</v>
      </c>
      <c r="R2" s="26" t="s">
        <v>130</v>
      </c>
    </row>
    <row r="3" spans="1:18" ht="45" x14ac:dyDescent="0.25">
      <c r="A3" s="1">
        <v>2</v>
      </c>
      <c r="B3" s="27" t="s">
        <v>161</v>
      </c>
      <c r="C3" s="1">
        <f t="shared" ref="C3:C31" ca="1" si="0">RANDBETWEEN(1967,2005)</f>
        <v>1983</v>
      </c>
      <c r="D3" s="1">
        <f t="shared" ref="D3:D31" ca="1" si="1">RANDBETWEEN(12000,80000)</f>
        <v>27281</v>
      </c>
      <c r="E3" s="1">
        <f t="shared" ref="E3:E31" ca="1" si="2">IF(C3&gt;2020,(LOG10(2006-C3)+1)*45000,(LOG(2013+C3,2)+1)*73000)</f>
        <v>946396.88334884646</v>
      </c>
      <c r="F3" s="34">
        <f t="shared" ref="F3:F31" ca="1" si="3">IF(C3&lt;1989,(LOG10(2006-C3))*45000*7/100,(LOG(2006-C3,2)+1)*65000*7/100)</f>
        <v>4289.442683455417</v>
      </c>
      <c r="G3" s="1">
        <f t="shared" ref="G3:G31" ca="1" si="4">IF(C3&lt;1989,(LOG10(2006-C3)+1)*45000,(LOG(2006-C3,2)+1)*65000)</f>
        <v>106277.75262079168</v>
      </c>
      <c r="H3" s="1">
        <f t="shared" ref="H3:H11" ca="1" si="5">RANDBETWEEN(54,58)/10</f>
        <v>5.5</v>
      </c>
      <c r="I3" s="1">
        <f t="shared" ref="I3:I11" ca="1" si="6">RANDBETWEEN(8,14)/10</f>
        <v>1</v>
      </c>
      <c r="J3" s="1">
        <f t="shared" ref="J3:J11" ca="1" si="7">RANDBETWEEN(163,199)/1000</f>
        <v>0.17599999999999999</v>
      </c>
      <c r="K3" s="28" t="s">
        <v>157</v>
      </c>
      <c r="L3" s="36" t="s">
        <v>174</v>
      </c>
      <c r="N3" s="1">
        <v>1</v>
      </c>
      <c r="O3" s="18" t="s">
        <v>131</v>
      </c>
      <c r="P3" s="1">
        <v>5.6</v>
      </c>
      <c r="Q3" s="1">
        <v>1.1200000000000001</v>
      </c>
      <c r="R3" s="1">
        <v>0.18099999999999999</v>
      </c>
    </row>
    <row r="4" spans="1:18" ht="45" x14ac:dyDescent="0.25">
      <c r="A4" s="1">
        <v>3</v>
      </c>
      <c r="B4" s="27" t="s">
        <v>162</v>
      </c>
      <c r="C4" s="1">
        <f t="shared" ca="1" si="0"/>
        <v>1994</v>
      </c>
      <c r="D4" s="1">
        <f t="shared" ca="1" si="1"/>
        <v>76485</v>
      </c>
      <c r="E4" s="1">
        <f t="shared" ca="1" si="2"/>
        <v>946686.39599344833</v>
      </c>
      <c r="F4" s="34">
        <f t="shared" ca="1" si="3"/>
        <v>20861.579378281262</v>
      </c>
      <c r="G4" s="1">
        <f t="shared" ca="1" si="4"/>
        <v>298022.56254687515</v>
      </c>
      <c r="H4" s="1">
        <f t="shared" ca="1" si="5"/>
        <v>5.4</v>
      </c>
      <c r="I4" s="1">
        <f t="shared" ca="1" si="6"/>
        <v>0.9</v>
      </c>
      <c r="J4" s="1">
        <f t="shared" ca="1" si="7"/>
        <v>0.185</v>
      </c>
      <c r="K4" s="28" t="s">
        <v>157</v>
      </c>
      <c r="L4" s="39" t="s">
        <v>180</v>
      </c>
      <c r="N4" s="1">
        <v>2</v>
      </c>
      <c r="O4" s="18" t="s">
        <v>132</v>
      </c>
      <c r="P4" s="1">
        <v>5.61</v>
      </c>
      <c r="Q4" s="1">
        <v>1.1000000000000001</v>
      </c>
      <c r="R4" s="1">
        <v>0.187</v>
      </c>
    </row>
    <row r="5" spans="1:18" ht="45" x14ac:dyDescent="0.25">
      <c r="A5" s="1">
        <v>4</v>
      </c>
      <c r="B5" s="27" t="s">
        <v>163</v>
      </c>
      <c r="C5" s="1">
        <f t="shared" ca="1" si="0"/>
        <v>1977</v>
      </c>
      <c r="D5" s="1">
        <f t="shared" ca="1" si="1"/>
        <v>29220</v>
      </c>
      <c r="E5" s="1">
        <f t="shared" ca="1" si="2"/>
        <v>946238.63127100875</v>
      </c>
      <c r="F5" s="34">
        <f t="shared" ca="1" si="3"/>
        <v>4606.5536933817111</v>
      </c>
      <c r="G5" s="1">
        <f t="shared" ca="1" si="4"/>
        <v>110807.90990545302</v>
      </c>
      <c r="H5" s="1">
        <f t="shared" ca="1" si="5"/>
        <v>5.6</v>
      </c>
      <c r="I5" s="1">
        <f t="shared" ca="1" si="6"/>
        <v>0.9</v>
      </c>
      <c r="J5" s="1">
        <f t="shared" ca="1" si="7"/>
        <v>0.17599999999999999</v>
      </c>
      <c r="K5" s="28" t="s">
        <v>157</v>
      </c>
      <c r="L5" s="36" t="s">
        <v>175</v>
      </c>
      <c r="N5" s="1">
        <v>3</v>
      </c>
      <c r="O5" s="18" t="s">
        <v>133</v>
      </c>
      <c r="P5" s="1">
        <v>5.4</v>
      </c>
      <c r="Q5" s="1">
        <v>1.17</v>
      </c>
      <c r="R5" s="1">
        <v>0.18099999999999999</v>
      </c>
    </row>
    <row r="6" spans="1:18" ht="45" x14ac:dyDescent="0.25">
      <c r="A6" s="1">
        <v>5</v>
      </c>
      <c r="B6" s="27" t="s">
        <v>164</v>
      </c>
      <c r="C6" s="1">
        <f t="shared" ca="1" si="0"/>
        <v>1979</v>
      </c>
      <c r="D6" s="1">
        <f t="shared" ca="1" si="1"/>
        <v>77271</v>
      </c>
      <c r="E6" s="1">
        <f t="shared" ca="1" si="2"/>
        <v>946291.40838962002</v>
      </c>
      <c r="F6" s="34">
        <f t="shared" ca="1" si="3"/>
        <v>4508.7958571008103</v>
      </c>
      <c r="G6" s="1">
        <f t="shared" ca="1" si="4"/>
        <v>109411.36938715444</v>
      </c>
      <c r="H6" s="1">
        <f t="shared" ca="1" si="5"/>
        <v>5.6</v>
      </c>
      <c r="I6" s="1">
        <f t="shared" ca="1" si="6"/>
        <v>1.2</v>
      </c>
      <c r="J6" s="1">
        <f t="shared" ca="1" si="7"/>
        <v>0.16900000000000001</v>
      </c>
      <c r="K6" s="28" t="s">
        <v>157</v>
      </c>
      <c r="L6" s="36" t="s">
        <v>176</v>
      </c>
      <c r="N6" s="1">
        <v>4</v>
      </c>
      <c r="O6" s="18" t="s">
        <v>134</v>
      </c>
      <c r="P6" s="1">
        <v>5.47</v>
      </c>
      <c r="Q6" s="1">
        <v>1.2</v>
      </c>
      <c r="R6" s="1">
        <v>0.185</v>
      </c>
    </row>
    <row r="7" spans="1:18" ht="45" x14ac:dyDescent="0.25">
      <c r="A7" s="1">
        <v>6</v>
      </c>
      <c r="B7" s="29" t="s">
        <v>160</v>
      </c>
      <c r="C7" s="1">
        <f t="shared" ca="1" si="0"/>
        <v>1998</v>
      </c>
      <c r="D7" s="1">
        <f t="shared" ca="1" si="1"/>
        <v>70412</v>
      </c>
      <c r="E7" s="1">
        <f t="shared" ca="1" si="2"/>
        <v>946791.47630945919</v>
      </c>
      <c r="F7" s="34">
        <f t="shared" ca="1" si="3"/>
        <v>18200</v>
      </c>
      <c r="G7" s="1">
        <f t="shared" ca="1" si="4"/>
        <v>260000</v>
      </c>
      <c r="H7" s="1">
        <f t="shared" ca="1" si="5"/>
        <v>5.8</v>
      </c>
      <c r="I7" s="1">
        <f t="shared" ca="1" si="6"/>
        <v>1.4</v>
      </c>
      <c r="J7" s="1">
        <f t="shared" ca="1" si="7"/>
        <v>0.16300000000000001</v>
      </c>
      <c r="K7" s="28" t="s">
        <v>157</v>
      </c>
      <c r="L7" s="36" t="s">
        <v>177</v>
      </c>
      <c r="N7" s="1">
        <v>5</v>
      </c>
      <c r="O7" s="18" t="s">
        <v>135</v>
      </c>
      <c r="P7" s="1">
        <v>5.32</v>
      </c>
      <c r="Q7" s="1">
        <v>1.1399999999999999</v>
      </c>
      <c r="R7" s="1">
        <v>0.182</v>
      </c>
    </row>
    <row r="8" spans="1:18" ht="45" x14ac:dyDescent="0.25">
      <c r="A8" s="1">
        <v>7</v>
      </c>
      <c r="B8" s="29" t="s">
        <v>161</v>
      </c>
      <c r="C8" s="1">
        <f t="shared" ca="1" si="0"/>
        <v>1977</v>
      </c>
      <c r="D8" s="1">
        <f t="shared" ca="1" si="1"/>
        <v>23465</v>
      </c>
      <c r="E8" s="1">
        <f t="shared" ca="1" si="2"/>
        <v>946238.63127100875</v>
      </c>
      <c r="F8" s="34">
        <f t="shared" ca="1" si="3"/>
        <v>4606.5536933817111</v>
      </c>
      <c r="G8" s="1">
        <f t="shared" ca="1" si="4"/>
        <v>110807.90990545302</v>
      </c>
      <c r="H8" s="1">
        <f t="shared" ca="1" si="5"/>
        <v>5.4</v>
      </c>
      <c r="I8" s="1">
        <f t="shared" ca="1" si="6"/>
        <v>1.1000000000000001</v>
      </c>
      <c r="J8" s="1">
        <f t="shared" ca="1" si="7"/>
        <v>0.191</v>
      </c>
      <c r="K8" s="28" t="s">
        <v>157</v>
      </c>
      <c r="L8" s="36" t="s">
        <v>178</v>
      </c>
      <c r="N8" s="1">
        <v>6</v>
      </c>
      <c r="O8" s="18" t="s">
        <v>136</v>
      </c>
      <c r="P8" s="1">
        <v>5.69</v>
      </c>
      <c r="Q8" s="1">
        <v>1.2</v>
      </c>
      <c r="R8" s="1">
        <v>0.18</v>
      </c>
    </row>
    <row r="9" spans="1:18" ht="45" x14ac:dyDescent="0.25">
      <c r="A9" s="1">
        <v>8</v>
      </c>
      <c r="B9" s="29" t="s">
        <v>162</v>
      </c>
      <c r="C9" s="1">
        <f t="shared" ca="1" si="0"/>
        <v>1990</v>
      </c>
      <c r="D9" s="1">
        <f t="shared" ca="1" si="1"/>
        <v>25376</v>
      </c>
      <c r="E9" s="1">
        <f t="shared" ca="1" si="2"/>
        <v>946581.21072829037</v>
      </c>
      <c r="F9" s="34">
        <f t="shared" ca="1" si="3"/>
        <v>22750</v>
      </c>
      <c r="G9" s="1">
        <f t="shared" ca="1" si="4"/>
        <v>325000</v>
      </c>
      <c r="H9" s="1">
        <f t="shared" ca="1" si="5"/>
        <v>5.6</v>
      </c>
      <c r="I9" s="1">
        <f t="shared" ca="1" si="6"/>
        <v>1.2</v>
      </c>
      <c r="J9" s="1">
        <f t="shared" ca="1" si="7"/>
        <v>0.16400000000000001</v>
      </c>
      <c r="K9" s="28" t="s">
        <v>157</v>
      </c>
      <c r="L9" s="36" t="s">
        <v>179</v>
      </c>
      <c r="N9" s="1">
        <v>7</v>
      </c>
      <c r="O9" s="18" t="s">
        <v>137</v>
      </c>
      <c r="P9" s="1">
        <v>5.94</v>
      </c>
      <c r="Q9" s="1">
        <v>1.2</v>
      </c>
      <c r="R9" s="1">
        <v>0.17899999999999999</v>
      </c>
    </row>
    <row r="10" spans="1:18" ht="45" x14ac:dyDescent="0.25">
      <c r="A10" s="1">
        <v>9</v>
      </c>
      <c r="B10" s="29" t="s">
        <v>163</v>
      </c>
      <c r="C10" s="1">
        <f t="shared" ca="1" si="0"/>
        <v>1987</v>
      </c>
      <c r="D10" s="1">
        <f t="shared" ca="1" si="1"/>
        <v>30444</v>
      </c>
      <c r="E10" s="1">
        <f t="shared" ca="1" si="2"/>
        <v>946502.25278033235</v>
      </c>
      <c r="F10" s="34">
        <f t="shared" ca="1" si="3"/>
        <v>4028.0738430014112</v>
      </c>
      <c r="G10" s="1">
        <f t="shared" ca="1" si="4"/>
        <v>102543.9120428773</v>
      </c>
      <c r="H10" s="1">
        <f t="shared" ca="1" si="5"/>
        <v>5.4</v>
      </c>
      <c r="I10" s="1">
        <f t="shared" ca="1" si="6"/>
        <v>1.1000000000000001</v>
      </c>
      <c r="J10" s="1">
        <f t="shared" ca="1" si="7"/>
        <v>0.191</v>
      </c>
      <c r="K10" s="28" t="s">
        <v>157</v>
      </c>
      <c r="L10" s="36" t="s">
        <v>181</v>
      </c>
      <c r="N10" s="1">
        <v>8</v>
      </c>
      <c r="O10" s="18" t="s">
        <v>138</v>
      </c>
      <c r="P10" s="1">
        <v>5.67</v>
      </c>
      <c r="Q10" s="1">
        <v>1.2</v>
      </c>
      <c r="R10" s="1">
        <v>0.18</v>
      </c>
    </row>
    <row r="11" spans="1:18" ht="45" x14ac:dyDescent="0.25">
      <c r="A11" s="1">
        <v>10</v>
      </c>
      <c r="B11" s="29" t="s">
        <v>164</v>
      </c>
      <c r="C11" s="1">
        <f t="shared" ca="1" si="0"/>
        <v>1988</v>
      </c>
      <c r="D11" s="1">
        <f t="shared" ca="1" si="1"/>
        <v>22361</v>
      </c>
      <c r="E11" s="1">
        <f t="shared" ca="1" si="2"/>
        <v>946528.57867422909</v>
      </c>
      <c r="F11" s="34">
        <f t="shared" ca="1" si="3"/>
        <v>3954.1083910754137</v>
      </c>
      <c r="G11" s="1">
        <f t="shared" ca="1" si="4"/>
        <v>101487.26272964878</v>
      </c>
      <c r="H11" s="1">
        <f t="shared" ca="1" si="5"/>
        <v>5.5</v>
      </c>
      <c r="I11" s="1">
        <f t="shared" ca="1" si="6"/>
        <v>1.1000000000000001</v>
      </c>
      <c r="J11" s="1">
        <f t="shared" ca="1" si="7"/>
        <v>0.16500000000000001</v>
      </c>
      <c r="K11" s="28" t="s">
        <v>157</v>
      </c>
      <c r="L11" s="36" t="s">
        <v>182</v>
      </c>
      <c r="N11" s="1">
        <v>9</v>
      </c>
      <c r="O11" s="18" t="s">
        <v>139</v>
      </c>
      <c r="P11" s="1">
        <v>5.84</v>
      </c>
      <c r="Q11" s="1">
        <v>1.24</v>
      </c>
      <c r="R11" s="1">
        <v>0.17799999999999999</v>
      </c>
    </row>
    <row r="12" spans="1:18" ht="45" x14ac:dyDescent="0.25">
      <c r="A12" s="1">
        <v>11</v>
      </c>
      <c r="B12" s="30" t="s">
        <v>165</v>
      </c>
      <c r="C12" s="1">
        <f t="shared" ca="1" si="0"/>
        <v>2004</v>
      </c>
      <c r="D12" s="1">
        <f t="shared" ca="1" si="1"/>
        <v>15817</v>
      </c>
      <c r="E12" s="1">
        <f t="shared" ca="1" si="2"/>
        <v>946948.90046131925</v>
      </c>
      <c r="F12" s="34">
        <f t="shared" ca="1" si="3"/>
        <v>9100</v>
      </c>
      <c r="G12" s="1">
        <f t="shared" ca="1" si="4"/>
        <v>130000</v>
      </c>
      <c r="H12" s="1">
        <f ca="1">RANDBETWEEN(888,900)/100</f>
        <v>8.92</v>
      </c>
      <c r="I12" s="35">
        <f ca="1">RANDBETWEEN(164,169)/100</f>
        <v>1.68</v>
      </c>
      <c r="J12" s="35">
        <f ca="1">RANDBETWEEN(107,113)/1000</f>
        <v>0.108</v>
      </c>
      <c r="K12" s="30" t="s">
        <v>158</v>
      </c>
      <c r="L12" s="37"/>
      <c r="N12" s="1">
        <v>10</v>
      </c>
      <c r="O12" s="18" t="s">
        <v>140</v>
      </c>
      <c r="P12" s="1">
        <v>5.74</v>
      </c>
      <c r="Q12" s="1">
        <v>1.23</v>
      </c>
      <c r="R12" s="1">
        <v>0.17899999999999999</v>
      </c>
    </row>
    <row r="13" spans="1:18" ht="45" x14ac:dyDescent="0.25">
      <c r="A13" s="1">
        <v>12</v>
      </c>
      <c r="B13" s="30" t="s">
        <v>166</v>
      </c>
      <c r="C13" s="1">
        <f t="shared" ca="1" si="0"/>
        <v>1973</v>
      </c>
      <c r="D13" s="1">
        <f t="shared" ca="1" si="1"/>
        <v>26583</v>
      </c>
      <c r="E13" s="1">
        <f t="shared" ca="1" si="2"/>
        <v>946132.99762325129</v>
      </c>
      <c r="F13" s="34">
        <f t="shared" ca="1" si="3"/>
        <v>4783.3189106153459</v>
      </c>
      <c r="G13" s="1">
        <f t="shared" ca="1" si="4"/>
        <v>113333.12729450494</v>
      </c>
      <c r="H13" s="1">
        <f ca="1">RANDBETWEEN(493,550)/100</f>
        <v>5.25</v>
      </c>
      <c r="I13" s="35">
        <f ca="1">RANDBETWEEN(873,898)/1000</f>
        <v>0.879</v>
      </c>
      <c r="J13" s="35">
        <f ca="1">RANDBETWEEN(221,228)/1000</f>
        <v>0.223</v>
      </c>
      <c r="K13" s="30" t="s">
        <v>158</v>
      </c>
      <c r="L13" s="37"/>
      <c r="N13" s="1">
        <v>11</v>
      </c>
      <c r="O13" s="18" t="s">
        <v>141</v>
      </c>
      <c r="P13" s="1">
        <v>5.13</v>
      </c>
      <c r="Q13" s="1">
        <v>1.27</v>
      </c>
      <c r="R13" s="1">
        <v>0.17499999999999999</v>
      </c>
    </row>
    <row r="14" spans="1:18" ht="45" x14ac:dyDescent="0.25">
      <c r="A14" s="1">
        <v>13</v>
      </c>
      <c r="B14" s="30" t="s">
        <v>167</v>
      </c>
      <c r="C14" s="1">
        <f t="shared" ca="1" si="0"/>
        <v>1977</v>
      </c>
      <c r="D14" s="1">
        <f t="shared" ca="1" si="1"/>
        <v>49012</v>
      </c>
      <c r="E14" s="1">
        <f t="shared" ca="1" si="2"/>
        <v>946238.63127100875</v>
      </c>
      <c r="F14" s="34">
        <f t="shared" ca="1" si="3"/>
        <v>4606.5536933817111</v>
      </c>
      <c r="G14" s="1">
        <f t="shared" ca="1" si="4"/>
        <v>110807.90990545302</v>
      </c>
      <c r="H14" s="1">
        <f ca="1">RANDBETWEEN(611,670)/100</f>
        <v>6.6</v>
      </c>
      <c r="I14" s="35">
        <f ca="1">RANDBETWEEN(145,156)/100</f>
        <v>1.54</v>
      </c>
      <c r="J14" s="35">
        <f ca="1">RANDBETWEEN(151,157)/1000</f>
        <v>0.154</v>
      </c>
      <c r="K14" s="30" t="s">
        <v>158</v>
      </c>
      <c r="L14" s="37"/>
      <c r="N14" s="1">
        <v>12</v>
      </c>
      <c r="O14" s="18" t="s">
        <v>142</v>
      </c>
      <c r="P14" s="1">
        <v>6.15</v>
      </c>
      <c r="Q14" s="1">
        <v>1.22</v>
      </c>
      <c r="R14" s="1">
        <v>0.17799999999999999</v>
      </c>
    </row>
    <row r="15" spans="1:18" ht="45" x14ac:dyDescent="0.25">
      <c r="A15" s="1">
        <v>14</v>
      </c>
      <c r="B15" s="30" t="s">
        <v>168</v>
      </c>
      <c r="C15" s="1">
        <f t="shared" ca="1" si="0"/>
        <v>2000</v>
      </c>
      <c r="D15" s="1">
        <f t="shared" ca="1" si="1"/>
        <v>56190</v>
      </c>
      <c r="E15" s="1">
        <f t="shared" ca="1" si="2"/>
        <v>946843.97717693972</v>
      </c>
      <c r="F15" s="34">
        <f t="shared" ca="1" si="3"/>
        <v>16311.579378281262</v>
      </c>
      <c r="G15" s="1">
        <f t="shared" ca="1" si="4"/>
        <v>233022.56254687515</v>
      </c>
      <c r="H15" s="1">
        <f ca="1">RANDBETWEEN(533,542)/100</f>
        <v>5.41</v>
      </c>
      <c r="I15" s="35">
        <f ca="1">RANDBETWEEN(975,987)/1000</f>
        <v>0.97499999999999998</v>
      </c>
      <c r="J15" s="35">
        <f ca="1">RANDBETWEEN(144,148)/1000</f>
        <v>0.14799999999999999</v>
      </c>
      <c r="K15" s="30" t="s">
        <v>158</v>
      </c>
      <c r="L15" s="37"/>
      <c r="N15" s="1">
        <v>13</v>
      </c>
      <c r="O15" s="18" t="s">
        <v>143</v>
      </c>
      <c r="P15" s="1">
        <v>5.89</v>
      </c>
      <c r="Q15" s="1">
        <v>1.25</v>
      </c>
      <c r="R15" s="1">
        <v>0.17699999999999999</v>
      </c>
    </row>
    <row r="16" spans="1:18" ht="45" x14ac:dyDescent="0.25">
      <c r="A16" s="1">
        <v>15</v>
      </c>
      <c r="B16" s="30" t="s">
        <v>169</v>
      </c>
      <c r="C16" s="1">
        <f t="shared" ca="1" si="0"/>
        <v>1969</v>
      </c>
      <c r="D16" s="1">
        <f t="shared" ca="1" si="1"/>
        <v>35424</v>
      </c>
      <c r="E16" s="1">
        <f t="shared" ca="1" si="2"/>
        <v>946027.25791759661</v>
      </c>
      <c r="F16" s="34">
        <f t="shared" ca="1" si="3"/>
        <v>4939.8354308110338</v>
      </c>
      <c r="G16" s="1">
        <f t="shared" ca="1" si="4"/>
        <v>115569.07758301478</v>
      </c>
      <c r="H16" s="1">
        <f ca="1">RANDBETWEEN(415,419)/100</f>
        <v>4.16</v>
      </c>
      <c r="I16" s="35">
        <f ca="1">RANDBETWEEN(817,824)/1000</f>
        <v>0.82399999999999995</v>
      </c>
      <c r="J16" s="35">
        <f ca="1">RANDBETWEEN(246,249)/1000</f>
        <v>0.249</v>
      </c>
      <c r="K16" s="30" t="s">
        <v>158</v>
      </c>
      <c r="L16" s="37"/>
      <c r="N16" s="1">
        <v>14</v>
      </c>
      <c r="O16" s="18" t="s">
        <v>136</v>
      </c>
      <c r="P16" s="1">
        <v>5.69</v>
      </c>
      <c r="Q16" s="1">
        <v>1.2</v>
      </c>
      <c r="R16" s="1">
        <v>0.18</v>
      </c>
    </row>
    <row r="17" spans="1:18" ht="45" x14ac:dyDescent="0.25">
      <c r="A17" s="1">
        <v>16</v>
      </c>
      <c r="B17" s="30" t="s">
        <v>165</v>
      </c>
      <c r="C17" s="1">
        <f t="shared" ca="1" si="0"/>
        <v>1994</v>
      </c>
      <c r="D17" s="1">
        <f t="shared" ca="1" si="1"/>
        <v>46199</v>
      </c>
      <c r="E17" s="1">
        <f t="shared" ca="1" si="2"/>
        <v>946686.39599344833</v>
      </c>
      <c r="F17" s="34">
        <f t="shared" ca="1" si="3"/>
        <v>20861.579378281262</v>
      </c>
      <c r="G17" s="1">
        <f t="shared" ca="1" si="4"/>
        <v>298022.56254687515</v>
      </c>
      <c r="H17" s="1">
        <f ca="1">RANDBETWEEN(888,900)/100</f>
        <v>8.99</v>
      </c>
      <c r="I17" s="35">
        <f ca="1">RANDBETWEEN(164,169)/100</f>
        <v>1.68</v>
      </c>
      <c r="J17" s="35">
        <f ca="1">RANDBETWEEN(107,113)/1000</f>
        <v>0.107</v>
      </c>
      <c r="K17" s="30" t="s">
        <v>158</v>
      </c>
      <c r="L17" s="37"/>
      <c r="N17" s="1">
        <v>15</v>
      </c>
      <c r="O17" s="18" t="s">
        <v>144</v>
      </c>
      <c r="P17" s="1">
        <v>8.98</v>
      </c>
      <c r="Q17" s="1">
        <v>1.67</v>
      </c>
      <c r="R17" s="1">
        <v>0.112</v>
      </c>
    </row>
    <row r="18" spans="1:18" ht="45" x14ac:dyDescent="0.25">
      <c r="A18" s="1">
        <v>17</v>
      </c>
      <c r="B18" s="30" t="s">
        <v>166</v>
      </c>
      <c r="C18" s="1">
        <f t="shared" ca="1" si="0"/>
        <v>2005</v>
      </c>
      <c r="D18" s="1">
        <f t="shared" ca="1" si="1"/>
        <v>66998</v>
      </c>
      <c r="E18" s="1">
        <f t="shared" ca="1" si="2"/>
        <v>946975.11495753028</v>
      </c>
      <c r="F18" s="34">
        <f t="shared" ca="1" si="3"/>
        <v>4550</v>
      </c>
      <c r="G18" s="1">
        <f t="shared" ca="1" si="4"/>
        <v>65000</v>
      </c>
      <c r="H18" s="1">
        <f ca="1">RANDBETWEEN(493,550)/100</f>
        <v>4.96</v>
      </c>
      <c r="I18" s="35">
        <f ca="1">RANDBETWEEN(873,898)/1000</f>
        <v>0.88800000000000001</v>
      </c>
      <c r="J18" s="35">
        <f ca="1">RANDBETWEEN(221,228)/1000</f>
        <v>0.22800000000000001</v>
      </c>
      <c r="K18" s="30" t="s">
        <v>158</v>
      </c>
      <c r="L18" s="37"/>
      <c r="N18" s="1">
        <v>16</v>
      </c>
      <c r="O18" s="18" t="s">
        <v>145</v>
      </c>
      <c r="P18" s="1">
        <v>5.21</v>
      </c>
      <c r="Q18" s="1">
        <v>0.89</v>
      </c>
      <c r="R18" s="1">
        <v>0.222</v>
      </c>
    </row>
    <row r="19" spans="1:18" x14ac:dyDescent="0.25">
      <c r="A19" s="1">
        <v>18</v>
      </c>
      <c r="B19" s="30" t="s">
        <v>167</v>
      </c>
      <c r="C19" s="1">
        <f t="shared" ca="1" si="0"/>
        <v>1976</v>
      </c>
      <c r="D19" s="1">
        <f t="shared" ca="1" si="1"/>
        <v>14878</v>
      </c>
      <c r="E19" s="1">
        <f t="shared" ca="1" si="2"/>
        <v>946212.2327903629</v>
      </c>
      <c r="F19" s="34">
        <f t="shared" ca="1" si="3"/>
        <v>4652.9319523669374</v>
      </c>
      <c r="G19" s="1">
        <f t="shared" ca="1" si="4"/>
        <v>111470.45646238481</v>
      </c>
      <c r="H19" s="1">
        <f ca="1">RANDBETWEEN(611,670)/100</f>
        <v>6.37</v>
      </c>
      <c r="I19" s="35">
        <f ca="1">RANDBETWEEN(145,156)/100</f>
        <v>1.5</v>
      </c>
      <c r="J19" s="35">
        <f ca="1">RANDBETWEEN(151,157)/1000</f>
        <v>0.151</v>
      </c>
      <c r="K19" s="30" t="s">
        <v>158</v>
      </c>
      <c r="L19" s="37"/>
      <c r="N19" s="40">
        <v>17</v>
      </c>
      <c r="O19" s="41" t="s">
        <v>146</v>
      </c>
      <c r="P19" s="40">
        <v>9.06</v>
      </c>
      <c r="Q19" s="40">
        <v>1.65</v>
      </c>
      <c r="R19" s="40">
        <v>0.13800000000000001</v>
      </c>
    </row>
    <row r="20" spans="1:18" ht="30" x14ac:dyDescent="0.25">
      <c r="A20" s="1">
        <v>19</v>
      </c>
      <c r="B20" s="30" t="s">
        <v>168</v>
      </c>
      <c r="C20" s="1">
        <f t="shared" ca="1" si="0"/>
        <v>1972</v>
      </c>
      <c r="D20" s="1">
        <f t="shared" ca="1" si="1"/>
        <v>50584</v>
      </c>
      <c r="E20" s="1">
        <f t="shared" ca="1" si="2"/>
        <v>946106.57264808181</v>
      </c>
      <c r="F20" s="34">
        <f t="shared" ca="1" si="3"/>
        <v>4824.1585886831044</v>
      </c>
      <c r="G20" s="1">
        <f t="shared" ca="1" si="4"/>
        <v>113916.55126690149</v>
      </c>
      <c r="H20" s="1">
        <f ca="1">RANDBETWEEN(533,542)/100</f>
        <v>5.42</v>
      </c>
      <c r="I20" s="35">
        <f ca="1">RANDBETWEEN(975,987)/1000</f>
        <v>0.97699999999999998</v>
      </c>
      <c r="J20" s="35">
        <f ca="1">RANDBETWEEN(144,148)/1000</f>
        <v>0.14799999999999999</v>
      </c>
      <c r="K20" s="30" t="s">
        <v>158</v>
      </c>
      <c r="L20" s="37"/>
      <c r="N20" s="40">
        <v>18</v>
      </c>
      <c r="O20" s="41" t="s">
        <v>147</v>
      </c>
      <c r="P20" s="40">
        <v>7.34</v>
      </c>
      <c r="Q20" s="40">
        <v>1.96</v>
      </c>
      <c r="R20" s="40">
        <v>0.16200000000000001</v>
      </c>
    </row>
    <row r="21" spans="1:18" x14ac:dyDescent="0.25">
      <c r="A21" s="1">
        <v>20</v>
      </c>
      <c r="B21" s="30" t="s">
        <v>169</v>
      </c>
      <c r="C21" s="1">
        <f t="shared" ca="1" si="0"/>
        <v>1984</v>
      </c>
      <c r="D21" s="1">
        <f t="shared" ca="1" si="1"/>
        <v>55501</v>
      </c>
      <c r="E21" s="1">
        <f t="shared" ca="1" si="2"/>
        <v>946423.23559169262</v>
      </c>
      <c r="F21" s="34">
        <f t="shared" ca="1" si="3"/>
        <v>4228.6314445899498</v>
      </c>
      <c r="G21" s="1">
        <f t="shared" ca="1" si="4"/>
        <v>105409.02063699928</v>
      </c>
      <c r="H21" s="1">
        <f ca="1">RANDBETWEEN(415,419)/100</f>
        <v>4.18</v>
      </c>
      <c r="I21" s="35">
        <f ca="1">RANDBETWEEN(817,824)/1000</f>
        <v>0.82199999999999995</v>
      </c>
      <c r="J21" s="35">
        <f ca="1">RANDBETWEEN(246,249)/1000</f>
        <v>0.249</v>
      </c>
      <c r="K21" s="30" t="s">
        <v>158</v>
      </c>
      <c r="L21" s="37"/>
      <c r="N21" s="1">
        <v>19</v>
      </c>
      <c r="O21" s="18" t="s">
        <v>148</v>
      </c>
      <c r="P21" s="1">
        <v>6.58</v>
      </c>
      <c r="Q21" s="1">
        <v>1.54</v>
      </c>
      <c r="R21" s="1">
        <v>0.14699999999999999</v>
      </c>
    </row>
    <row r="22" spans="1:18" x14ac:dyDescent="0.25">
      <c r="A22" s="1">
        <v>21</v>
      </c>
      <c r="B22" s="31" t="s">
        <v>170</v>
      </c>
      <c r="C22" s="1">
        <f t="shared" ca="1" si="0"/>
        <v>1994</v>
      </c>
      <c r="D22" s="1">
        <f t="shared" ca="1" si="1"/>
        <v>27533</v>
      </c>
      <c r="E22" s="1">
        <f t="shared" ca="1" si="2"/>
        <v>946686.39599344833</v>
      </c>
      <c r="F22" s="34">
        <f t="shared" ca="1" si="3"/>
        <v>20861.579378281262</v>
      </c>
      <c r="G22" s="1">
        <f t="shared" ca="1" si="4"/>
        <v>298022.56254687515</v>
      </c>
      <c r="H22" s="1">
        <f ca="1">RANDBETWEEN(904,908)/100</f>
        <v>9.06</v>
      </c>
      <c r="I22" s="35">
        <f ca="1">RANDBETWEEN(163,167)/100</f>
        <v>1.63</v>
      </c>
      <c r="J22" s="35">
        <f ca="1">RANDBETWEEN(138,139)/1000</f>
        <v>0.13800000000000001</v>
      </c>
      <c r="K22" s="31" t="s">
        <v>159</v>
      </c>
      <c r="L22" s="38"/>
      <c r="N22" s="1">
        <v>20</v>
      </c>
      <c r="O22" s="18" t="s">
        <v>149</v>
      </c>
      <c r="P22" s="1">
        <v>5.39</v>
      </c>
      <c r="Q22" s="1">
        <v>0.98</v>
      </c>
      <c r="R22" s="1">
        <v>0.155</v>
      </c>
    </row>
    <row r="23" spans="1:18" x14ac:dyDescent="0.25">
      <c r="A23" s="1">
        <v>22</v>
      </c>
      <c r="B23" s="31" t="s">
        <v>171</v>
      </c>
      <c r="C23" s="1">
        <f t="shared" ca="1" si="0"/>
        <v>2000</v>
      </c>
      <c r="D23" s="1">
        <f t="shared" ca="1" si="1"/>
        <v>12564</v>
      </c>
      <c r="E23" s="1">
        <f t="shared" ca="1" si="2"/>
        <v>946843.97717693972</v>
      </c>
      <c r="F23" s="34">
        <f t="shared" ca="1" si="3"/>
        <v>16311.579378281262</v>
      </c>
      <c r="G23" s="1">
        <f t="shared" ca="1" si="4"/>
        <v>233022.56254687515</v>
      </c>
      <c r="H23" s="1"/>
      <c r="I23" s="1"/>
      <c r="J23" s="1"/>
      <c r="K23" s="31" t="s">
        <v>159</v>
      </c>
      <c r="L23" s="38"/>
      <c r="N23" s="1">
        <v>21</v>
      </c>
      <c r="O23" s="18" t="s">
        <v>150</v>
      </c>
      <c r="P23" s="1">
        <v>4.17</v>
      </c>
      <c r="Q23" s="1">
        <v>0.82</v>
      </c>
      <c r="R23" s="1">
        <v>0.248</v>
      </c>
    </row>
    <row r="24" spans="1:18" ht="45" x14ac:dyDescent="0.25">
      <c r="A24" s="1">
        <v>23</v>
      </c>
      <c r="B24" s="31" t="s">
        <v>170</v>
      </c>
      <c r="C24" s="1">
        <f t="shared" ca="1" si="0"/>
        <v>1986</v>
      </c>
      <c r="D24" s="1">
        <f t="shared" ca="1" si="1"/>
        <v>57542</v>
      </c>
      <c r="E24" s="1">
        <f t="shared" ca="1" si="2"/>
        <v>946475.92030413938</v>
      </c>
      <c r="F24" s="34">
        <f t="shared" ca="1" si="3"/>
        <v>4098.2444863415412</v>
      </c>
      <c r="G24" s="1">
        <f t="shared" ca="1" si="4"/>
        <v>103546.34980487915</v>
      </c>
      <c r="H24" s="1"/>
      <c r="I24" s="1"/>
      <c r="J24" s="1"/>
      <c r="K24" s="31" t="s">
        <v>159</v>
      </c>
      <c r="L24" s="38"/>
      <c r="N24" s="1">
        <v>22</v>
      </c>
      <c r="O24" s="18" t="s">
        <v>151</v>
      </c>
      <c r="P24" s="1">
        <v>3.89</v>
      </c>
      <c r="Q24" s="1">
        <v>0.79</v>
      </c>
      <c r="R24" s="1">
        <v>0.26700000000000002</v>
      </c>
    </row>
    <row r="25" spans="1:18" x14ac:dyDescent="0.25">
      <c r="A25" s="1">
        <v>24</v>
      </c>
      <c r="B25" s="31" t="s">
        <v>171</v>
      </c>
      <c r="C25" s="1">
        <f t="shared" ca="1" si="0"/>
        <v>1994</v>
      </c>
      <c r="D25" s="1">
        <f t="shared" ca="1" si="1"/>
        <v>74657</v>
      </c>
      <c r="E25" s="1">
        <f t="shared" ca="1" si="2"/>
        <v>946686.39599344833</v>
      </c>
      <c r="F25" s="34">
        <f t="shared" ca="1" si="3"/>
        <v>20861.579378281262</v>
      </c>
      <c r="G25" s="1">
        <f t="shared" ca="1" si="4"/>
        <v>298022.56254687515</v>
      </c>
      <c r="H25" s="1"/>
      <c r="I25" s="1"/>
      <c r="J25" s="1"/>
      <c r="K25" s="31" t="s">
        <v>159</v>
      </c>
      <c r="L25" s="38"/>
    </row>
    <row r="26" spans="1:18" x14ac:dyDescent="0.25">
      <c r="A26" s="1">
        <v>25</v>
      </c>
      <c r="B26" s="31" t="s">
        <v>170</v>
      </c>
      <c r="C26" s="1">
        <f t="shared" ca="1" si="0"/>
        <v>1983</v>
      </c>
      <c r="D26" s="1">
        <f t="shared" ca="1" si="1"/>
        <v>64939</v>
      </c>
      <c r="E26" s="1">
        <f t="shared" ca="1" si="2"/>
        <v>946396.88334884646</v>
      </c>
      <c r="F26" s="34">
        <f t="shared" ca="1" si="3"/>
        <v>4289.442683455417</v>
      </c>
      <c r="G26" s="1">
        <f t="shared" ca="1" si="4"/>
        <v>106277.75262079168</v>
      </c>
      <c r="H26" s="1"/>
      <c r="I26" s="1"/>
      <c r="J26" s="1"/>
      <c r="K26" s="31" t="s">
        <v>159</v>
      </c>
      <c r="L26" s="38"/>
    </row>
    <row r="27" spans="1:18" x14ac:dyDescent="0.25">
      <c r="A27" s="1">
        <v>26</v>
      </c>
      <c r="B27" s="31" t="s">
        <v>171</v>
      </c>
      <c r="C27" s="1">
        <f t="shared" ca="1" si="0"/>
        <v>1991</v>
      </c>
      <c r="D27" s="1">
        <f t="shared" ca="1" si="1"/>
        <v>49240</v>
      </c>
      <c r="E27" s="1">
        <f t="shared" ca="1" si="2"/>
        <v>946607.5168950276</v>
      </c>
      <c r="F27" s="34">
        <f t="shared" ca="1" si="3"/>
        <v>22326.352210018762</v>
      </c>
      <c r="G27" s="1">
        <f t="shared" ca="1" si="4"/>
        <v>318947.88871455373</v>
      </c>
      <c r="H27" s="1"/>
      <c r="I27" s="1"/>
      <c r="J27" s="1"/>
      <c r="K27" s="31" t="s">
        <v>159</v>
      </c>
      <c r="L27" s="38"/>
    </row>
    <row r="28" spans="1:18" x14ac:dyDescent="0.25">
      <c r="A28" s="1">
        <v>27</v>
      </c>
      <c r="B28" s="31" t="s">
        <v>170</v>
      </c>
      <c r="C28" s="1">
        <f t="shared" ca="1" si="0"/>
        <v>1979</v>
      </c>
      <c r="D28" s="1">
        <f t="shared" ca="1" si="1"/>
        <v>44464</v>
      </c>
      <c r="E28" s="1">
        <f t="shared" ca="1" si="2"/>
        <v>946291.40838962002</v>
      </c>
      <c r="F28" s="34">
        <f t="shared" ca="1" si="3"/>
        <v>4508.7958571008103</v>
      </c>
      <c r="G28" s="1">
        <f t="shared" ca="1" si="4"/>
        <v>109411.36938715444</v>
      </c>
      <c r="H28" s="1"/>
      <c r="I28" s="1"/>
      <c r="J28" s="1"/>
      <c r="K28" s="31" t="s">
        <v>159</v>
      </c>
      <c r="L28" s="38"/>
    </row>
    <row r="29" spans="1:18" x14ac:dyDescent="0.25">
      <c r="A29" s="1">
        <v>28</v>
      </c>
      <c r="B29" s="31" t="s">
        <v>171</v>
      </c>
      <c r="C29" s="1">
        <f t="shared" ca="1" si="0"/>
        <v>1985</v>
      </c>
      <c r="D29" s="1">
        <f t="shared" ca="1" si="1"/>
        <v>12271</v>
      </c>
      <c r="E29" s="1">
        <f t="shared" ca="1" si="2"/>
        <v>946449.58124235785</v>
      </c>
      <c r="F29" s="34">
        <f t="shared" ca="1" si="3"/>
        <v>4164.9907784118459</v>
      </c>
      <c r="G29" s="1">
        <f t="shared" ca="1" si="4"/>
        <v>104499.86826302638</v>
      </c>
      <c r="H29" s="1"/>
      <c r="I29" s="1"/>
      <c r="J29" s="1"/>
      <c r="K29" s="31" t="s">
        <v>159</v>
      </c>
      <c r="L29" s="38"/>
    </row>
    <row r="30" spans="1:18" x14ac:dyDescent="0.25">
      <c r="A30" s="1">
        <v>29</v>
      </c>
      <c r="B30" s="31" t="s">
        <v>170</v>
      </c>
      <c r="C30" s="1">
        <f t="shared" ca="1" si="0"/>
        <v>1974</v>
      </c>
      <c r="D30" s="1">
        <f t="shared" ca="1" si="1"/>
        <v>56420</v>
      </c>
      <c r="E30" s="1">
        <f t="shared" ca="1" si="2"/>
        <v>946159.41596980521</v>
      </c>
      <c r="F30" s="34">
        <f t="shared" ca="1" si="3"/>
        <v>4741.2224317077043</v>
      </c>
      <c r="G30" s="1">
        <f t="shared" ca="1" si="4"/>
        <v>112731.74902439579</v>
      </c>
      <c r="H30" s="1"/>
      <c r="I30" s="1"/>
      <c r="J30" s="1"/>
      <c r="K30" s="31" t="s">
        <v>159</v>
      </c>
      <c r="L30" s="38"/>
    </row>
    <row r="31" spans="1:18" x14ac:dyDescent="0.25">
      <c r="A31" s="1">
        <v>30</v>
      </c>
      <c r="B31" s="31" t="s">
        <v>171</v>
      </c>
      <c r="C31" s="1">
        <f t="shared" ca="1" si="0"/>
        <v>2003</v>
      </c>
      <c r="D31" s="1">
        <f t="shared" ca="1" si="1"/>
        <v>25290</v>
      </c>
      <c r="E31" s="1">
        <f t="shared" ca="1" si="2"/>
        <v>946922.67943840637</v>
      </c>
      <c r="F31" s="34">
        <f t="shared" ca="1" si="3"/>
        <v>11761.579378281262</v>
      </c>
      <c r="G31" s="1">
        <f t="shared" ca="1" si="4"/>
        <v>168022.56254687515</v>
      </c>
      <c r="H31" s="1"/>
      <c r="I31" s="1"/>
      <c r="J31" s="1"/>
      <c r="K31" s="31" t="s">
        <v>159</v>
      </c>
      <c r="L31" s="3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Кручинин Илья</cp:lastModifiedBy>
  <dcterms:created xsi:type="dcterms:W3CDTF">2018-11-09T15:24:14Z</dcterms:created>
  <dcterms:modified xsi:type="dcterms:W3CDTF">2019-01-25T13:29:11Z</dcterms:modified>
</cp:coreProperties>
</file>